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Guest Register" sheetId="2" state="visible" r:id="rId2"/>
    <sheet name="Hisaab Bookings" sheetId="3" state="visible" r:id="rId3"/>
    <sheet name="Monthly Rate Trend" sheetId="4" state="visible" r:id="rId4"/>
    <sheet name="Settlement Notes" sheetId="5" state="visible" r:id="rId5"/>
    <sheet name="Expenses" sheetId="6" state="visible" r:id="rId6"/>
    <sheet name="Monthly Bookings &amp; Ansh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sz val="13"/>
    </font>
    <font>
      <name val="Arial"/>
      <charset val="1"/>
      <family val="0"/>
      <b val="1"/>
      <i val="1"/>
      <color rgb="FFC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b val="1"/>
      <sz val="14"/>
    </font>
    <font>
      <i val="1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3" fontId="12" fillId="4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3" fontId="10" fillId="3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3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3" fontId="12" fillId="4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3" fontId="10" fillId="3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3" fontId="12" fillId="0" borderId="0" applyAlignment="1" pivotButton="0" quotePrefix="0" xfId="0">
      <alignment horizontal="general" vertical="bottom"/>
    </xf>
    <xf numFmtId="0" fontId="16" fillId="0" borderId="0" pivotButton="0" quotePrefix="0" xfId="0"/>
    <xf numFmtId="0" fontId="17" fillId="0" borderId="0" pivotButton="0" quotePrefix="0" xfId="0"/>
    <xf numFmtId="0" fontId="18" fillId="6" borderId="0" pivotButton="0" quotePrefix="0" xfId="0"/>
    <xf numFmtId="0" fontId="1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Room Rate by Month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'Monthly Rate Trend'!C4</f>
              <strCache>
                <ptCount val="1"/>
                <pt idx="0">
                  <v>Avg Rate (Rs)</v>
                </pt>
              </strCache>
            </strRef>
          </tx>
          <spPr>
            <a:solidFill>
              <a:srgbClr val="4a7ebb"/>
            </a:solidFill>
            <a:ln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'Monthly Rate Trend'!$A$5:$A$7</f>
              <strCache>
                <ptCount val="3"/>
                <pt idx="0">
                  <v>May 2026</v>
                </pt>
                <pt idx="1">
                  <v>June 2026</v>
                </pt>
                <pt idx="2">
                  <v>July 2026</v>
                </pt>
              </strCache>
            </strRef>
          </cat>
          <val>
            <numRef>
              <f>'Monthly Rate Trend'!$C$5:$C$7</f>
              <numCache>
                <formatCode>#,##0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0"/>
        <axId val="15629096"/>
        <axId val="93101602"/>
      </lineChart>
      <catAx>
        <axId val="15629096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3101602"/>
        <crosses val="autoZero"/>
        <auto val="1"/>
        <lblAlgn val="ctr"/>
        <lblOffset val="100"/>
        <noMultiLvlLbl val="0"/>
      </catAx>
      <valAx>
        <axId val="93101602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Rate (Rs)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5629096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9</row>
      <rowOff>176040</rowOff>
    </from>
    <to>
      <col>5</col>
      <colOff>1037160</colOff>
      <row>26</row>
      <rowOff>177120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20" min="1" max="1"/>
  </cols>
  <sheetData>
    <row r="1" ht="17.35" customHeight="1" s="21">
      <c r="A1" s="22" t="inlineStr">
        <is>
          <t>R.R. Garden Booking &amp; Rate Tracker</t>
        </is>
      </c>
    </row>
    <row r="2" ht="18" customHeight="1" s="21">
      <c r="A2" s="23" t="n"/>
    </row>
    <row r="3" ht="18" customHeight="1" s="21">
      <c r="A3" s="24" t="inlineStr">
        <is>
          <t>Sheets in this workbook:</t>
        </is>
      </c>
    </row>
    <row r="4" ht="18" customHeight="1" s="21">
      <c r="A4" s="23" t="inlineStr">
        <is>
          <t>1. Guest Register — every individual booking from the handwritten register (name, ID details, dates, room). Currently loaded: Page 1 of 60 (12 bookings) as a working sample.</t>
        </is>
      </c>
    </row>
    <row r="5" ht="18" customHeight="1" s="21">
      <c r="A5" s="23" t="inlineStr">
        <is>
          <t>2. Hisaab Bookings — raw room-rate data (date + amount per room booked) from the June-July 2026 diary pages. This is the only rate data found in the scan.</t>
        </is>
      </c>
    </row>
    <row r="6" ht="18" customHeight="1" s="21">
      <c r="A6" s="23" t="inlineStr">
        <is>
          <t>3. Monthly Rate Trend — auto-calculated average/min/max rate and revenue per month, with a chart. Add more months to 'Hisaab Bookings' and it updates automatically.</t>
        </is>
      </c>
    </row>
    <row r="7" ht="18" customHeight="1" s="21">
      <c r="A7" s="23" t="inlineStr">
        <is>
          <t>4. Settlement Notes — the income-split scribbles under the June totals (Uncle/Ansh/Malwa/Online/Baki). Meaning is a best guess — please confirm.</t>
        </is>
      </c>
    </row>
    <row r="8" ht="18" customHeight="1" s="21">
      <c r="A8" s="23" t="inlineStr">
        <is>
          <t>5. Expenses — blank tracker for ongoing costs (repairs, supplies, staff etc.)</t>
        </is>
      </c>
    </row>
    <row r="9" ht="18" customHeight="1" s="21">
      <c r="A9" s="23" t="n"/>
    </row>
    <row r="10" ht="18" customHeight="1" s="21">
      <c r="A10" s="23" t="inlineStr">
        <is>
          <t>IMPORTANT:</t>
        </is>
      </c>
    </row>
    <row r="11" ht="18" customHeight="1" s="21">
      <c r="A11" s="23" t="inlineStr">
        <is>
          <t>- Yellow highlighted cells = handwriting was unclear in the scan. Please verify against the physical register before relying on them.</t>
        </is>
      </c>
    </row>
    <row r="12" ht="18" customHeight="1" s="21">
      <c r="A12" s="23" t="inlineStr">
        <is>
          <t>- The register has ~700+ total bookings across 60 pages — only page 1 is digitized so far. Send more pages (clear, well-lit photos work best) and I'll keep adding rows.</t>
        </is>
      </c>
    </row>
    <row r="13" ht="18" customHeight="1" s="21">
      <c r="A13" s="23" t="inlineStr">
        <is>
          <t>- Room rates only exist in the June/July diary — older register pages (Aug 2024 onward) record guest ID details but no price, so historical rate trend before May 2026 isn't available unless you have another rate record.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3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0" min="1" max="1"/>
    <col width="7" customWidth="1" style="20" min="2" max="2"/>
    <col width="26" customWidth="1" style="20" min="3" max="3"/>
    <col width="10" customWidth="1" style="20" min="4" max="6"/>
    <col width="8" customWidth="1" style="20" min="7" max="7"/>
    <col width="34" customWidth="1" style="20" min="8" max="8"/>
    <col width="14" customWidth="1" style="20" min="9" max="9"/>
    <col width="12" customWidth="1" style="20" min="10" max="11"/>
    <col width="9" customWidth="1" style="20" min="12" max="12"/>
    <col width="16" customWidth="1" style="20" min="13" max="14"/>
    <col width="8" customWidth="1" style="20" min="15" max="15"/>
  </cols>
  <sheetData>
    <row r="1" ht="16.15" customHeight="1" s="21">
      <c r="A1" s="25" t="inlineStr">
        <is>
          <t>R.R. Garden — Guest Register</t>
        </is>
      </c>
    </row>
    <row r="2" ht="15" customHeight="1" s="21">
      <c r="A2" s="26" t="inlineStr">
        <is>
          <t>Digitized from handwritten register. Loaded: Page 1 (rows above) + pages 2-25 appended below (290 more bookings). Yellow cells = unclear handwriting (VERIFY) - check against physical register.</t>
        </is>
      </c>
    </row>
    <row r="4" ht="23.85" customHeight="1" s="21">
      <c r="A4" s="27" t="inlineStr">
        <is>
          <t>PageNo</t>
        </is>
      </c>
      <c r="B4" s="27" t="inlineStr">
        <is>
          <t>SNo</t>
        </is>
      </c>
      <c r="C4" s="27" t="inlineStr">
        <is>
          <t>GuestName</t>
        </is>
      </c>
      <c r="D4" s="27" t="inlineStr">
        <is>
          <t>Age</t>
        </is>
      </c>
      <c r="E4" s="27" t="inlineStr">
        <is>
          <t>Relationship</t>
        </is>
      </c>
      <c r="F4" s="27" t="inlineStr">
        <is>
          <t>Nationality</t>
        </is>
      </c>
      <c r="G4" s="27" t="inlineStr">
        <is>
          <t>NumPersons</t>
        </is>
      </c>
      <c r="H4" s="27" t="inlineStr">
        <is>
          <t>Address</t>
        </is>
      </c>
      <c r="I4" s="27" t="inlineStr">
        <is>
          <t>Phone</t>
        </is>
      </c>
      <c r="J4" s="27" t="inlineStr">
        <is>
          <t>ComingFrom</t>
        </is>
      </c>
      <c r="K4" s="27" t="inlineStr">
        <is>
          <t>NextDestination</t>
        </is>
      </c>
      <c r="L4" s="27" t="inlineStr">
        <is>
          <t>Purpose</t>
        </is>
      </c>
      <c r="M4" s="27" t="inlineStr">
        <is>
          <t>ArrivalDateTime</t>
        </is>
      </c>
      <c r="N4" s="27" t="inlineStr">
        <is>
          <t>DepartureDateTime</t>
        </is>
      </c>
      <c r="O4" s="27" t="inlineStr">
        <is>
          <t>RoomNo</t>
        </is>
      </c>
    </row>
    <row r="5" ht="15" customHeight="1" s="21">
      <c r="A5" s="30" t="n">
        <v>1</v>
      </c>
      <c r="B5" s="30" t="n">
        <v>1</v>
      </c>
      <c r="C5" s="30" t="inlineStr">
        <is>
          <t>Naitik Sharma / Aarti Rajput</t>
        </is>
      </c>
      <c r="D5" s="30" t="inlineStr">
        <is>
          <t>21 / 11</t>
        </is>
      </c>
      <c r="E5" s="30" t="inlineStr">
        <is>
          <t>Friend</t>
        </is>
      </c>
      <c r="F5" s="30" t="inlineStr">
        <is>
          <t>India</t>
        </is>
      </c>
      <c r="G5" s="30" t="n">
        <v>2</v>
      </c>
      <c r="H5" s="30" t="inlineStr">
        <is>
          <t>175/2 Sanjay G.N. Naubasti, Gulab Nagar Naubasti, Kanpur</t>
        </is>
      </c>
      <c r="I5" s="30" t="inlineStr">
        <is>
          <t>8229360908</t>
        </is>
      </c>
      <c r="J5" s="30" t="inlineStr">
        <is>
          <t>Kalyanpur</t>
        </is>
      </c>
      <c r="K5" s="30" t="inlineStr">
        <is>
          <t>Kalyanpur</t>
        </is>
      </c>
      <c r="L5" s="30" t="inlineStr">
        <is>
          <t>Visit</t>
        </is>
      </c>
      <c r="M5" s="30" t="inlineStr">
        <is>
          <t>8/11/24 7:20pm</t>
        </is>
      </c>
      <c r="N5" s="30" t="inlineStr">
        <is>
          <t>8/11/24 8:10pm</t>
        </is>
      </c>
      <c r="O5" s="30" t="n">
        <v>201</v>
      </c>
    </row>
    <row r="6" ht="15" customHeight="1" s="21">
      <c r="A6" s="30" t="n">
        <v>1</v>
      </c>
      <c r="B6" s="30" t="n">
        <v>2</v>
      </c>
      <c r="C6" s="30" t="inlineStr">
        <is>
          <t>Abhay / Anjali</t>
        </is>
      </c>
      <c r="D6" s="30" t="inlineStr">
        <is>
          <t>20 / 22</t>
        </is>
      </c>
      <c r="E6" s="30" t="inlineStr">
        <is>
          <t>Friend</t>
        </is>
      </c>
      <c r="F6" s="30" t="inlineStr">
        <is>
          <t>India</t>
        </is>
      </c>
      <c r="G6" s="30" t="n">
        <v>2</v>
      </c>
      <c r="H6" s="30" t="inlineStr">
        <is>
          <t>429 Bakfuri Purwa, 999 Devidhi Nagar</t>
        </is>
      </c>
      <c r="I6" s="30" t="inlineStr">
        <is>
          <t>9696972862</t>
        </is>
      </c>
      <c r="J6" s="30" t="inlineStr">
        <is>
          <t>Kanpur</t>
        </is>
      </c>
      <c r="K6" s="30" t="inlineStr">
        <is>
          <t>Kanpur</t>
        </is>
      </c>
      <c r="L6" s="30" t="inlineStr">
        <is>
          <t>Visit</t>
        </is>
      </c>
      <c r="M6" s="30" t="inlineStr">
        <is>
          <t>9/11/24 12:35pm</t>
        </is>
      </c>
      <c r="N6" s="30" t="inlineStr">
        <is>
          <t>9/11/24 4:20pm</t>
        </is>
      </c>
      <c r="O6" s="30" t="n">
        <v>201</v>
      </c>
    </row>
    <row r="7" ht="15" customHeight="1" s="21">
      <c r="A7" s="30" t="n">
        <v>1</v>
      </c>
      <c r="B7" s="30" t="n">
        <v>3</v>
      </c>
      <c r="C7" s="30" t="inlineStr">
        <is>
          <t>Sonu / Stuti</t>
        </is>
      </c>
      <c r="D7" s="30" t="inlineStr">
        <is>
          <t>21 / 20</t>
        </is>
      </c>
      <c r="E7" s="30" t="inlineStr">
        <is>
          <t>Friend</t>
        </is>
      </c>
      <c r="F7" s="30" t="inlineStr">
        <is>
          <t>India</t>
        </is>
      </c>
      <c r="G7" s="30" t="n">
        <v>2</v>
      </c>
      <c r="H7" s="30" t="inlineStr">
        <is>
          <t>Chak Bijay Harishpur, Lal Bagla Kanpur</t>
        </is>
      </c>
      <c r="I7" s="30" t="inlineStr">
        <is>
          <t>6392813154</t>
        </is>
      </c>
      <c r="J7" s="30" t="inlineStr">
        <is>
          <t>Kanpur</t>
        </is>
      </c>
      <c r="K7" s="30" t="inlineStr">
        <is>
          <t>Kanpur</t>
        </is>
      </c>
      <c r="L7" s="30" t="inlineStr">
        <is>
          <t>Visit</t>
        </is>
      </c>
      <c r="M7" s="30" t="inlineStr">
        <is>
          <t>9/11/24 3:15pm</t>
        </is>
      </c>
      <c r="N7" s="30" t="inlineStr">
        <is>
          <t>9/11/24 4:19pm</t>
        </is>
      </c>
      <c r="O7" s="30" t="n">
        <v>202</v>
      </c>
    </row>
    <row r="8" ht="15" customHeight="1" s="21">
      <c r="A8" s="30" t="n">
        <v>1</v>
      </c>
      <c r="B8" s="30" t="n">
        <v>4</v>
      </c>
      <c r="C8" s="30" t="inlineStr">
        <is>
          <t>Annu Tiwari / Ayush Sharma</t>
        </is>
      </c>
      <c r="D8" s="30" t="inlineStr">
        <is>
          <t>VERIFY / 19</t>
        </is>
      </c>
      <c r="E8" s="30" t="inlineStr">
        <is>
          <t>Friend</t>
        </is>
      </c>
      <c r="F8" s="30" t="inlineStr">
        <is>
          <t>India</t>
        </is>
      </c>
      <c r="G8" s="30" t="n">
        <v>2</v>
      </c>
      <c r="H8" s="30" t="inlineStr">
        <is>
          <t>Naubasti Kanpur</t>
        </is>
      </c>
      <c r="I8" s="30" t="inlineStr">
        <is>
          <t>6391189513</t>
        </is>
      </c>
      <c r="J8" s="30" t="inlineStr">
        <is>
          <t>Kanpur</t>
        </is>
      </c>
      <c r="K8" s="30" t="inlineStr">
        <is>
          <t>Kanpur</t>
        </is>
      </c>
      <c r="L8" s="30" t="inlineStr">
        <is>
          <t>Visit</t>
        </is>
      </c>
      <c r="M8" s="30" t="inlineStr">
        <is>
          <t>9/11/24 5:28pm</t>
        </is>
      </c>
      <c r="N8" s="30" t="inlineStr">
        <is>
          <t>9/11/24 7:30pm</t>
        </is>
      </c>
      <c r="O8" s="30" t="n">
        <v>202</v>
      </c>
    </row>
    <row r="9" ht="15" customHeight="1" s="21">
      <c r="A9" s="30" t="n">
        <v>1</v>
      </c>
      <c r="B9" s="30" t="n">
        <v>5</v>
      </c>
      <c r="C9" s="30" t="inlineStr">
        <is>
          <t>Akshat / Roshani</t>
        </is>
      </c>
      <c r="D9" s="30" t="inlineStr">
        <is>
          <t>20 / 22</t>
        </is>
      </c>
      <c r="E9" s="30" t="inlineStr">
        <is>
          <t>Friend</t>
        </is>
      </c>
      <c r="F9" s="30" t="inlineStr">
        <is>
          <t>India</t>
        </is>
      </c>
      <c r="G9" s="30" t="n">
        <v>2</v>
      </c>
      <c r="H9" s="30" t="inlineStr">
        <is>
          <t>Dabauli Udyan Kanpur</t>
        </is>
      </c>
      <c r="I9" s="30" t="inlineStr">
        <is>
          <t>7892064742</t>
        </is>
      </c>
      <c r="J9" s="30" t="inlineStr">
        <is>
          <t>Kanpur</t>
        </is>
      </c>
      <c r="K9" s="30" t="inlineStr">
        <is>
          <t>Kanpur</t>
        </is>
      </c>
      <c r="L9" s="30" t="inlineStr">
        <is>
          <t>Visit</t>
        </is>
      </c>
      <c r="M9" s="30" t="inlineStr">
        <is>
          <t>12/11/24 1:36pm</t>
        </is>
      </c>
      <c r="N9" s="30" t="inlineStr">
        <is>
          <t>12/11/24 4:30pm</t>
        </is>
      </c>
      <c r="O9" s="30" t="n">
        <v>201</v>
      </c>
    </row>
    <row r="10" ht="15" customHeight="1" s="21">
      <c r="A10" s="30" t="n">
        <v>1</v>
      </c>
      <c r="B10" s="30" t="n">
        <v>6</v>
      </c>
      <c r="C10" s="30" t="inlineStr">
        <is>
          <t>Ram Prakash / Puja Singh</t>
        </is>
      </c>
      <c r="D10" s="30" t="inlineStr">
        <is>
          <t>VERIFY / 28</t>
        </is>
      </c>
      <c r="E10" s="30" t="inlineStr">
        <is>
          <t>Friend</t>
        </is>
      </c>
      <c r="F10" s="30" t="inlineStr">
        <is>
          <t>India</t>
        </is>
      </c>
      <c r="G10" s="30" t="n">
        <v>2</v>
      </c>
      <c r="H10" s="30" t="inlineStr">
        <is>
          <t>Dada Nagar Kanpur</t>
        </is>
      </c>
      <c r="I10" s="30" t="inlineStr">
        <is>
          <t>9909182961</t>
        </is>
      </c>
      <c r="J10" s="30" t="inlineStr">
        <is>
          <t>Kanpur</t>
        </is>
      </c>
      <c r="K10" s="30" t="inlineStr">
        <is>
          <t>Kanpur</t>
        </is>
      </c>
      <c r="L10" s="30" t="inlineStr">
        <is>
          <t>Visit</t>
        </is>
      </c>
      <c r="M10" s="30" t="inlineStr">
        <is>
          <t>12/11/24 2:20pm</t>
        </is>
      </c>
      <c r="N10" s="30" t="inlineStr">
        <is>
          <t>12/11/24 5:30pm</t>
        </is>
      </c>
      <c r="O10" s="30" t="n">
        <v>202</v>
      </c>
    </row>
    <row r="11" ht="15" customHeight="1" s="21">
      <c r="A11" s="30" t="n">
        <v>1</v>
      </c>
      <c r="B11" s="30" t="n">
        <v>7</v>
      </c>
      <c r="C11" s="30" t="inlineStr">
        <is>
          <t>Ankit Rajput / Puja Soni</t>
        </is>
      </c>
      <c r="D11" s="30" t="inlineStr">
        <is>
          <t>19 / 20</t>
        </is>
      </c>
      <c r="E11" s="30" t="inlineStr">
        <is>
          <t>Friend</t>
        </is>
      </c>
      <c r="F11" s="30" t="inlineStr">
        <is>
          <t>India</t>
        </is>
      </c>
      <c r="G11" s="30" t="n">
        <v>2</v>
      </c>
      <c r="H11" s="30" t="inlineStr">
        <is>
          <t>Kathagar / Naubasti Kanpur</t>
        </is>
      </c>
      <c r="I11" s="30" t="inlineStr">
        <is>
          <t>63866809</t>
        </is>
      </c>
      <c r="J11" s="30" t="inlineStr">
        <is>
          <t>Kanpur</t>
        </is>
      </c>
      <c r="K11" s="30" t="inlineStr">
        <is>
          <t>Kanpur</t>
        </is>
      </c>
      <c r="L11" s="30" t="inlineStr">
        <is>
          <t>Visit</t>
        </is>
      </c>
      <c r="M11" s="30" t="inlineStr">
        <is>
          <t>15/11/24 10:48am</t>
        </is>
      </c>
      <c r="N11" s="30" t="inlineStr">
        <is>
          <t>15/11/24 1:28pm</t>
        </is>
      </c>
      <c r="O11" s="30" t="n">
        <v>202</v>
      </c>
    </row>
    <row r="12" ht="15" customHeight="1" s="21">
      <c r="A12" s="30" t="n">
        <v>1</v>
      </c>
      <c r="B12" s="30" t="n">
        <v>8</v>
      </c>
      <c r="C12" s="30" t="inlineStr">
        <is>
          <t>Vishal Rajput / Preeti</t>
        </is>
      </c>
      <c r="D12" s="30" t="inlineStr">
        <is>
          <t>18 / 21</t>
        </is>
      </c>
      <c r="E12" s="30" t="inlineStr">
        <is>
          <t>Friend</t>
        </is>
      </c>
      <c r="F12" s="30" t="inlineStr">
        <is>
          <t>India</t>
        </is>
      </c>
      <c r="G12" s="30" t="n">
        <v>2</v>
      </c>
      <c r="H12" s="30" t="inlineStr">
        <is>
          <t>Maal Kanpur / Kathagar Kanpur</t>
        </is>
      </c>
      <c r="I12" s="30" t="inlineStr">
        <is>
          <t>6306078691</t>
        </is>
      </c>
      <c r="J12" s="30" t="inlineStr">
        <is>
          <t>Kanpur</t>
        </is>
      </c>
      <c r="K12" s="30" t="inlineStr">
        <is>
          <t>Kanpur</t>
        </is>
      </c>
      <c r="L12" s="30" t="inlineStr">
        <is>
          <t>Visit</t>
        </is>
      </c>
      <c r="M12" s="30" t="inlineStr">
        <is>
          <t>15/11/24 1:05pm</t>
        </is>
      </c>
      <c r="N12" s="30" t="inlineStr">
        <is>
          <t>15/11/24 6:10pm</t>
        </is>
      </c>
      <c r="O12" s="30" t="n">
        <v>203</v>
      </c>
    </row>
    <row r="13" ht="15" customHeight="1" s="21">
      <c r="A13" s="30" t="n">
        <v>1</v>
      </c>
      <c r="B13" s="30" t="n">
        <v>9</v>
      </c>
      <c r="C13" s="30" t="inlineStr">
        <is>
          <t>Shweta / Ankit Singh</t>
        </is>
      </c>
      <c r="D13" s="30" t="inlineStr">
        <is>
          <t>24 / 30</t>
        </is>
      </c>
      <c r="E13" s="30" t="inlineStr">
        <is>
          <t>Friend</t>
        </is>
      </c>
      <c r="F13" s="30" t="inlineStr">
        <is>
          <t>India</t>
        </is>
      </c>
      <c r="G13" s="30" t="n">
        <v>2</v>
      </c>
      <c r="H13" s="30" t="inlineStr">
        <is>
          <t>Gram Berri Kalyanpur / Parsapur Purv Kanpur</t>
        </is>
      </c>
      <c r="I13" s="30" t="inlineStr">
        <is>
          <t>8542845591</t>
        </is>
      </c>
      <c r="J13" s="30" t="inlineStr">
        <is>
          <t>Kanpur</t>
        </is>
      </c>
      <c r="K13" s="30" t="inlineStr">
        <is>
          <t>Kanpur</t>
        </is>
      </c>
      <c r="L13" s="30" t="inlineStr">
        <is>
          <t>Visit</t>
        </is>
      </c>
      <c r="M13" s="30" t="inlineStr">
        <is>
          <t>16/11/24 12:41pm</t>
        </is>
      </c>
      <c r="N13" s="30" t="inlineStr">
        <is>
          <t>16/11/24 3:48pm</t>
        </is>
      </c>
      <c r="O13" s="30" t="n">
        <v>201</v>
      </c>
    </row>
    <row r="14" ht="15" customHeight="1" s="21">
      <c r="A14" s="30" t="n">
        <v>1</v>
      </c>
      <c r="B14" s="30" t="n">
        <v>10</v>
      </c>
      <c r="C14" s="30" t="inlineStr">
        <is>
          <t>Zeeshan / Umran Khatoon</t>
        </is>
      </c>
      <c r="D14" s="30" t="inlineStr">
        <is>
          <t>43 / 38</t>
        </is>
      </c>
      <c r="E14" s="30" t="inlineStr">
        <is>
          <t>Friend</t>
        </is>
      </c>
      <c r="F14" s="30" t="inlineStr">
        <is>
          <t>India</t>
        </is>
      </c>
      <c r="G14" s="30" t="n">
        <v>2</v>
      </c>
      <c r="H14" s="30" t="inlineStr">
        <is>
          <t>Kakadeo / Naubasti Kanpur</t>
        </is>
      </c>
      <c r="I14" s="30" t="inlineStr">
        <is>
          <t>9696911758</t>
        </is>
      </c>
      <c r="J14" s="30" t="inlineStr">
        <is>
          <t>Kanpur</t>
        </is>
      </c>
      <c r="K14" s="30" t="inlineStr">
        <is>
          <t>Kanpur</t>
        </is>
      </c>
      <c r="L14" s="30" t="inlineStr">
        <is>
          <t>Visit</t>
        </is>
      </c>
      <c r="M14" s="30" t="inlineStr">
        <is>
          <t>19/11/24 7:15am</t>
        </is>
      </c>
      <c r="N14" s="30" t="inlineStr">
        <is>
          <t>19/11/24 11:30am</t>
        </is>
      </c>
      <c r="O14" s="30" t="n">
        <v>201</v>
      </c>
    </row>
    <row r="15" ht="15" customHeight="1" s="21">
      <c r="A15" s="30" t="n">
        <v>1</v>
      </c>
      <c r="B15" s="30" t="n">
        <v>11</v>
      </c>
      <c r="C15" s="30" t="inlineStr">
        <is>
          <t>Ankit Kumar / Jyoti Yadav</t>
        </is>
      </c>
      <c r="D15" s="30" t="inlineStr">
        <is>
          <t>28 / 26</t>
        </is>
      </c>
      <c r="E15" s="30" t="inlineStr">
        <is>
          <t>Friend</t>
        </is>
      </c>
      <c r="F15" s="30" t="inlineStr">
        <is>
          <t>India</t>
        </is>
      </c>
      <c r="G15" s="30" t="n">
        <v>2</v>
      </c>
      <c r="H15" s="30" t="inlineStr">
        <is>
          <t>Panki / Kanpur Dehat</t>
        </is>
      </c>
      <c r="I15" s="29" t="inlineStr">
        <is>
          <t>VERIFY</t>
        </is>
      </c>
      <c r="J15" s="30" t="inlineStr">
        <is>
          <t>Kanpur</t>
        </is>
      </c>
      <c r="K15" s="30" t="inlineStr">
        <is>
          <t>Kanpur</t>
        </is>
      </c>
      <c r="L15" s="30" t="inlineStr">
        <is>
          <t>Visit</t>
        </is>
      </c>
      <c r="M15" s="30" t="inlineStr">
        <is>
          <t>19/11/24 11:40am</t>
        </is>
      </c>
      <c r="N15" s="30" t="inlineStr">
        <is>
          <t>19/11/24 2:30pm</t>
        </is>
      </c>
      <c r="O15" s="30" t="n">
        <v>202</v>
      </c>
    </row>
    <row r="16" ht="15" customHeight="1" s="21">
      <c r="A16" s="30" t="n">
        <v>1</v>
      </c>
      <c r="B16" s="30" t="n">
        <v>12</v>
      </c>
      <c r="C16" s="30" t="inlineStr">
        <is>
          <t>Abhay / Anjali</t>
        </is>
      </c>
      <c r="D16" s="30" t="inlineStr">
        <is>
          <t>18 / 18</t>
        </is>
      </c>
      <c r="E16" s="30" t="inlineStr">
        <is>
          <t>Friend</t>
        </is>
      </c>
      <c r="F16" s="30" t="inlineStr">
        <is>
          <t>India</t>
        </is>
      </c>
      <c r="G16" s="30" t="n">
        <v>2</v>
      </c>
      <c r="H16" s="30" t="inlineStr">
        <is>
          <t>429 Bakchi Purwa / 999 Devidhi Nagar</t>
        </is>
      </c>
      <c r="I16" s="30" t="inlineStr">
        <is>
          <t>9696972862</t>
        </is>
      </c>
      <c r="J16" s="30" t="inlineStr">
        <is>
          <t>Kanpur</t>
        </is>
      </c>
      <c r="K16" s="30" t="inlineStr">
        <is>
          <t>Kanpur</t>
        </is>
      </c>
      <c r="L16" s="30" t="inlineStr">
        <is>
          <t>Visit</t>
        </is>
      </c>
      <c r="M16" s="30" t="inlineStr">
        <is>
          <t>20/11/24 10:20am</t>
        </is>
      </c>
      <c r="N16" s="30" t="inlineStr">
        <is>
          <t>20/11/24 4:40pm</t>
        </is>
      </c>
      <c r="O16" s="30" t="n">
        <v>201</v>
      </c>
    </row>
    <row r="17">
      <c r="A17" s="30" t="n">
        <v>2</v>
      </c>
      <c r="B17" s="30" t="n">
        <v>13</v>
      </c>
      <c r="C17" s="30" t="inlineStr">
        <is>
          <t>Utkarsh / Pooja</t>
        </is>
      </c>
      <c r="D17" s="30" t="inlineStr">
        <is>
          <t>21 / 19</t>
        </is>
      </c>
      <c r="E17" s="30" t="inlineStr">
        <is>
          <t>Friend</t>
        </is>
      </c>
      <c r="F17" s="30" t="inlineStr">
        <is>
          <t>Indian</t>
        </is>
      </c>
      <c r="G17" s="30" t="n">
        <v>2</v>
      </c>
      <c r="H17" s="30" t="inlineStr">
        <is>
          <t>Barra-8 / Barra-2</t>
        </is>
      </c>
      <c r="I17" s="30" t="inlineStr">
        <is>
          <t>6382679848</t>
        </is>
      </c>
      <c r="J17" s="30" t="inlineStr">
        <is>
          <t>Kanpur</t>
        </is>
      </c>
      <c r="K17" s="30" t="inlineStr">
        <is>
          <t>Kanpur</t>
        </is>
      </c>
      <c r="L17" s="30" t="inlineStr">
        <is>
          <t>Visit</t>
        </is>
      </c>
      <c r="M17" s="30" t="inlineStr">
        <is>
          <t>20/11/24 4:40pm</t>
        </is>
      </c>
      <c r="N17" s="30" t="inlineStr">
        <is>
          <t>20/11/24 5:20pm</t>
        </is>
      </c>
      <c r="O17" s="30" t="inlineStr">
        <is>
          <t>202</t>
        </is>
      </c>
    </row>
    <row r="18">
      <c r="A18" s="30" t="n">
        <v>2</v>
      </c>
      <c r="B18" s="30" t="n">
        <v>14</v>
      </c>
      <c r="C18" s="30" t="inlineStr">
        <is>
          <t>Anurag / Jyoti</t>
        </is>
      </c>
      <c r="D18" s="30" t="inlineStr">
        <is>
          <t>20 / 20</t>
        </is>
      </c>
      <c r="E18" s="30" t="inlineStr">
        <is>
          <t>Friend</t>
        </is>
      </c>
      <c r="F18" s="30" t="inlineStr">
        <is>
          <t>Indian</t>
        </is>
      </c>
      <c r="G18" s="30" t="n">
        <v>2</v>
      </c>
      <c r="H18" s="30" t="inlineStr">
        <is>
          <t>C-684 World Bank Barra Kanpur / Barra-2 Kanpur</t>
        </is>
      </c>
      <c r="I18" s="30" t="inlineStr">
        <is>
          <t>9335681286</t>
        </is>
      </c>
      <c r="J18" s="30" t="inlineStr">
        <is>
          <t>Kanpur</t>
        </is>
      </c>
      <c r="K18" s="30" t="inlineStr">
        <is>
          <t>Kanpur</t>
        </is>
      </c>
      <c r="L18" s="30" t="inlineStr">
        <is>
          <t>Visit</t>
        </is>
      </c>
      <c r="M18" s="30" t="inlineStr">
        <is>
          <t>20/11/24 4:52pm</t>
        </is>
      </c>
      <c r="N18" s="30" t="inlineStr">
        <is>
          <t>20/11/24 8:10pm</t>
        </is>
      </c>
      <c r="O18" s="30" t="inlineStr">
        <is>
          <t>203</t>
        </is>
      </c>
    </row>
    <row r="19">
      <c r="A19" s="30" t="n">
        <v>2</v>
      </c>
      <c r="B19" s="30" t="n">
        <v>15</v>
      </c>
      <c r="C19" s="30" t="inlineStr">
        <is>
          <t>Balwan Singh / Ankita</t>
        </is>
      </c>
      <c r="D19" s="30" t="inlineStr">
        <is>
          <t>27 / 23</t>
        </is>
      </c>
      <c r="E19" s="30" t="inlineStr">
        <is>
          <t>Friend</t>
        </is>
      </c>
      <c r="F19" s="30" t="inlineStr">
        <is>
          <t>Indian</t>
        </is>
      </c>
      <c r="G19" s="30" t="n">
        <v>2</v>
      </c>
      <c r="H19" s="30" t="inlineStr">
        <is>
          <t>Yojana Nagar / Bhognipur Kanpur Dehat</t>
        </is>
      </c>
      <c r="I19" s="30" t="inlineStr">
        <is>
          <t>8468061150</t>
        </is>
      </c>
      <c r="J19" s="30" t="inlineStr">
        <is>
          <t>Kanpur</t>
        </is>
      </c>
      <c r="K19" s="30" t="inlineStr">
        <is>
          <t>Kanpur</t>
        </is>
      </c>
      <c r="L19" s="30" t="inlineStr">
        <is>
          <t>Visit</t>
        </is>
      </c>
      <c r="M19" s="30" t="inlineStr">
        <is>
          <t>21/11/24 1:15pm</t>
        </is>
      </c>
      <c r="N19" s="30" t="inlineStr">
        <is>
          <t>21/11/24 4:20pm</t>
        </is>
      </c>
      <c r="O19" s="30" t="inlineStr">
        <is>
          <t>201</t>
        </is>
      </c>
    </row>
    <row r="20">
      <c r="A20" s="30" t="n">
        <v>2</v>
      </c>
      <c r="B20" s="30" t="n">
        <v>16</v>
      </c>
      <c r="C20" s="30" t="inlineStr">
        <is>
          <t>Abhay Kumar / Sneha Pal</t>
        </is>
      </c>
      <c r="D20" s="30" t="inlineStr">
        <is>
          <t>23 / 20</t>
        </is>
      </c>
      <c r="E20" s="30" t="inlineStr">
        <is>
          <t>Friend</t>
        </is>
      </c>
      <c r="F20" s="30" t="inlineStr">
        <is>
          <t>Indian</t>
        </is>
      </c>
      <c r="G20" s="30" t="n">
        <v>2</v>
      </c>
      <c r="H20" s="30" t="inlineStr">
        <is>
          <t>Lal Bangla Kanpur</t>
        </is>
      </c>
      <c r="I20" s="31" t="inlineStr">
        <is>
          <t>VERIFY 6386717471</t>
        </is>
      </c>
      <c r="J20" s="30" t="inlineStr">
        <is>
          <t>Kanpur</t>
        </is>
      </c>
      <c r="K20" s="30" t="inlineStr">
        <is>
          <t>Kanpur</t>
        </is>
      </c>
      <c r="L20" s="30" t="inlineStr">
        <is>
          <t>Visit</t>
        </is>
      </c>
      <c r="M20" s="30" t="inlineStr">
        <is>
          <t>22/11/24 9:50am</t>
        </is>
      </c>
      <c r="N20" s="30" t="inlineStr">
        <is>
          <t>22/11/24 1:15pm</t>
        </is>
      </c>
      <c r="O20" s="30" t="inlineStr">
        <is>
          <t>201</t>
        </is>
      </c>
    </row>
    <row r="21">
      <c r="A21" s="30" t="n">
        <v>2</v>
      </c>
      <c r="B21" s="30" t="n">
        <v>17</v>
      </c>
      <c r="C21" s="30" t="inlineStr">
        <is>
          <t>Sandeep Kumar / Saloni Rathore</t>
        </is>
      </c>
      <c r="D21" s="30" t="inlineStr">
        <is>
          <t>20 / 21</t>
        </is>
      </c>
      <c r="E21" s="30" t="inlineStr">
        <is>
          <t>Friend</t>
        </is>
      </c>
      <c r="F21" s="30" t="inlineStr">
        <is>
          <t>Indian</t>
        </is>
      </c>
      <c r="G21" s="30" t="n">
        <v>2</v>
      </c>
      <c r="H21" s="30" t="inlineStr">
        <is>
          <t>KP University, Kanpur Nagar</t>
        </is>
      </c>
      <c r="I21" s="30" t="inlineStr">
        <is>
          <t>8957011856</t>
        </is>
      </c>
      <c r="J21" s="30" t="inlineStr">
        <is>
          <t>Kanpur</t>
        </is>
      </c>
      <c r="K21" s="30" t="inlineStr">
        <is>
          <t>Kanpur</t>
        </is>
      </c>
      <c r="L21" s="30" t="inlineStr">
        <is>
          <t>Visit</t>
        </is>
      </c>
      <c r="M21" s="30" t="inlineStr">
        <is>
          <t>23/11/24 12:42pm</t>
        </is>
      </c>
      <c r="N21" s="30" t="inlineStr">
        <is>
          <t>23/11/24 4:43pm</t>
        </is>
      </c>
      <c r="O21" s="30" t="inlineStr">
        <is>
          <t>202</t>
        </is>
      </c>
    </row>
    <row r="22">
      <c r="A22" s="30" t="n">
        <v>2</v>
      </c>
      <c r="B22" s="30" t="n">
        <v>18</v>
      </c>
      <c r="C22" s="30" t="inlineStr">
        <is>
          <t>Divyansh Shukla / Ananya Mishra</t>
        </is>
      </c>
      <c r="D22" s="30" t="inlineStr">
        <is>
          <t>20 / 21</t>
        </is>
      </c>
      <c r="E22" s="30" t="inlineStr">
        <is>
          <t>Friend</t>
        </is>
      </c>
      <c r="F22" s="30" t="inlineStr">
        <is>
          <t>Indian</t>
        </is>
      </c>
      <c r="G22" s="30" t="n">
        <v>2</v>
      </c>
      <c r="H22" s="30" t="inlineStr">
        <is>
          <t>Naubasta / Naubasta Kanpur</t>
        </is>
      </c>
      <c r="I22" s="30" t="inlineStr">
        <is>
          <t>9554346863</t>
        </is>
      </c>
      <c r="J22" s="30" t="inlineStr">
        <is>
          <t>Kanpur</t>
        </is>
      </c>
      <c r="K22" s="30" t="inlineStr">
        <is>
          <t>Kanpur</t>
        </is>
      </c>
      <c r="L22" s="30" t="inlineStr">
        <is>
          <t>Visit</t>
        </is>
      </c>
      <c r="M22" s="30" t="inlineStr">
        <is>
          <t>25/11/24 10:20am</t>
        </is>
      </c>
      <c r="N22" s="30" t="inlineStr">
        <is>
          <t>25/11/24 2:10pm</t>
        </is>
      </c>
      <c r="O22" s="30" t="inlineStr">
        <is>
          <t>202</t>
        </is>
      </c>
    </row>
    <row r="23">
      <c r="A23" s="30" t="n">
        <v>2</v>
      </c>
      <c r="B23" s="30" t="n">
        <v>19</v>
      </c>
      <c r="C23" s="30" t="inlineStr">
        <is>
          <t>Alok Tiwari / Aarti Savita</t>
        </is>
      </c>
      <c r="D23" s="30" t="inlineStr">
        <is>
          <t>20 / 34</t>
        </is>
      </c>
      <c r="E23" s="30" t="inlineStr">
        <is>
          <t>Friend</t>
        </is>
      </c>
      <c r="F23" s="30" t="inlineStr">
        <is>
          <t>Indian</t>
        </is>
      </c>
      <c r="G23" s="30" t="n">
        <v>2</v>
      </c>
      <c r="H23" s="30" t="inlineStr">
        <is>
          <t>CTG Dabauli Kanpur / Ratanlal Nagar Kanpur</t>
        </is>
      </c>
      <c r="I23" s="30" t="inlineStr">
        <is>
          <t>6392813154</t>
        </is>
      </c>
      <c r="J23" s="30" t="inlineStr">
        <is>
          <t>Kanpur</t>
        </is>
      </c>
      <c r="K23" s="30" t="inlineStr">
        <is>
          <t>Kanpur</t>
        </is>
      </c>
      <c r="L23" s="30" t="inlineStr">
        <is>
          <t>Visit</t>
        </is>
      </c>
      <c r="M23" s="30" t="inlineStr">
        <is>
          <t>25/11/24 12:28pm</t>
        </is>
      </c>
      <c r="N23" s="30" t="inlineStr">
        <is>
          <t>25/11/24 7:17pm</t>
        </is>
      </c>
      <c r="O23" s="30" t="inlineStr">
        <is>
          <t>201</t>
        </is>
      </c>
    </row>
    <row r="24">
      <c r="A24" s="30" t="n">
        <v>2</v>
      </c>
      <c r="B24" s="30" t="n">
        <v>20</v>
      </c>
      <c r="C24" s="30" t="inlineStr">
        <is>
          <t>Pratham / Saloni</t>
        </is>
      </c>
      <c r="D24" s="30" t="inlineStr">
        <is>
          <t>25 / 24</t>
        </is>
      </c>
      <c r="E24" s="30" t="inlineStr">
        <is>
          <t>Friend</t>
        </is>
      </c>
      <c r="F24" s="30" t="inlineStr">
        <is>
          <t>Indian</t>
        </is>
      </c>
      <c r="G24" s="30" t="n">
        <v>2</v>
      </c>
      <c r="H24" s="30" t="inlineStr">
        <is>
          <t>T.P. Nagar Kanpur / T.P. Nagar</t>
        </is>
      </c>
      <c r="I24" s="30" t="inlineStr">
        <is>
          <t>7905019018</t>
        </is>
      </c>
      <c r="J24" s="30" t="inlineStr">
        <is>
          <t>Kanpur</t>
        </is>
      </c>
      <c r="K24" s="30" t="inlineStr">
        <is>
          <t>Kanpur</t>
        </is>
      </c>
      <c r="L24" s="30" t="inlineStr">
        <is>
          <t>Visit</t>
        </is>
      </c>
      <c r="M24" s="30" t="inlineStr">
        <is>
          <t>25/11/24 12:20pm</t>
        </is>
      </c>
      <c r="N24" s="30" t="inlineStr">
        <is>
          <t>25/11/24 2:30pm</t>
        </is>
      </c>
      <c r="O24" s="30" t="inlineStr">
        <is>
          <t>204</t>
        </is>
      </c>
    </row>
    <row r="25">
      <c r="A25" s="30" t="n">
        <v>2</v>
      </c>
      <c r="B25" s="30" t="n">
        <v>21</v>
      </c>
      <c r="C25" s="30" t="inlineStr">
        <is>
          <t>Abhay / Anjali</t>
        </is>
      </c>
      <c r="D25" s="30" t="inlineStr">
        <is>
          <t>20 / 22</t>
        </is>
      </c>
      <c r="E25" s="30" t="inlineStr">
        <is>
          <t>Friend</t>
        </is>
      </c>
      <c r="F25" s="30" t="inlineStr">
        <is>
          <t>Indian</t>
        </is>
      </c>
      <c r="G25" s="30" t="n">
        <v>2</v>
      </c>
      <c r="H25" s="30" t="inlineStr">
        <is>
          <t>479 Bhaktauri Purwa / 499 Dwivedi Nagar</t>
        </is>
      </c>
      <c r="I25" s="30" t="inlineStr">
        <is>
          <t>9696972862</t>
        </is>
      </c>
      <c r="J25" s="30" t="inlineStr">
        <is>
          <t>Kanpur</t>
        </is>
      </c>
      <c r="K25" s="30" t="inlineStr">
        <is>
          <t>Kanpur</t>
        </is>
      </c>
      <c r="L25" s="30" t="inlineStr">
        <is>
          <t>Visit</t>
        </is>
      </c>
      <c r="M25" s="30" t="inlineStr">
        <is>
          <t>28/11/24 1:04pm</t>
        </is>
      </c>
      <c r="N25" s="30" t="inlineStr">
        <is>
          <t>28/11/24 5:50pm</t>
        </is>
      </c>
      <c r="O25" s="30" t="inlineStr">
        <is>
          <t>203</t>
        </is>
      </c>
    </row>
    <row r="26">
      <c r="A26" s="30" t="n">
        <v>2</v>
      </c>
      <c r="B26" s="30" t="n">
        <v>22</v>
      </c>
      <c r="C26" s="30" t="inlineStr">
        <is>
          <t>Abhay / Anjali</t>
        </is>
      </c>
      <c r="D26" s="30" t="inlineStr">
        <is>
          <t>20 / 22</t>
        </is>
      </c>
      <c r="E26" s="30" t="inlineStr">
        <is>
          <t>Friend</t>
        </is>
      </c>
      <c r="F26" s="30" t="inlineStr">
        <is>
          <t>Indian</t>
        </is>
      </c>
      <c r="G26" s="30" t="n">
        <v>2</v>
      </c>
      <c r="H26" s="30" t="inlineStr">
        <is>
          <t>428 Bhaktauri Purwa / 421 Dwivedi Nagar</t>
        </is>
      </c>
      <c r="I26" s="30" t="inlineStr">
        <is>
          <t>9696972862</t>
        </is>
      </c>
      <c r="J26" s="30" t="inlineStr">
        <is>
          <t>Kanpur</t>
        </is>
      </c>
      <c r="K26" s="30" t="inlineStr">
        <is>
          <t>Kanpur</t>
        </is>
      </c>
      <c r="L26" s="30" t="inlineStr">
        <is>
          <t>Visit</t>
        </is>
      </c>
      <c r="M26" s="30" t="inlineStr">
        <is>
          <t>28/11/24 4:50pm</t>
        </is>
      </c>
      <c r="N26" s="30" t="inlineStr">
        <is>
          <t>29/11/24 9:50pm</t>
        </is>
      </c>
      <c r="O26" s="30" t="inlineStr">
        <is>
          <t>202</t>
        </is>
      </c>
    </row>
    <row r="27">
      <c r="A27" s="30" t="n">
        <v>2</v>
      </c>
      <c r="B27" s="30" t="n">
        <v>23</v>
      </c>
      <c r="C27" s="30" t="inlineStr">
        <is>
          <t>Alok Tiwari / Aarti Savita</t>
        </is>
      </c>
      <c r="D27" s="30" t="inlineStr">
        <is>
          <t>20 / 21</t>
        </is>
      </c>
      <c r="E27" s="30" t="inlineStr">
        <is>
          <t>Friend</t>
        </is>
      </c>
      <c r="F27" s="30" t="inlineStr">
        <is>
          <t>Indian</t>
        </is>
      </c>
      <c r="G27" s="30" t="n">
        <v>2</v>
      </c>
      <c r="H27" s="30" t="inlineStr">
        <is>
          <t>CTG Dabauli Kanpur / Ratanlal Nagar Kanpur</t>
        </is>
      </c>
      <c r="I27" s="30" t="inlineStr">
        <is>
          <t>6392813154</t>
        </is>
      </c>
      <c r="J27" s="30" t="inlineStr">
        <is>
          <t>Kanpur</t>
        </is>
      </c>
      <c r="K27" s="30" t="inlineStr">
        <is>
          <t>Kanpur</t>
        </is>
      </c>
      <c r="L27" s="30" t="inlineStr">
        <is>
          <t>Visit</t>
        </is>
      </c>
      <c r="M27" s="30" t="inlineStr">
        <is>
          <t>28/11/24 7:10pm</t>
        </is>
      </c>
      <c r="N27" s="30" t="inlineStr">
        <is>
          <t>29/11/24 9:55pm</t>
        </is>
      </c>
      <c r="O27" s="30" t="inlineStr">
        <is>
          <t>203</t>
        </is>
      </c>
    </row>
    <row r="28">
      <c r="A28" s="30" t="n">
        <v>2</v>
      </c>
      <c r="B28" s="30" t="n">
        <v>24</v>
      </c>
      <c r="C28" s="30" t="inlineStr">
        <is>
          <t>Sandeep Kumar / Saloni Rathore</t>
        </is>
      </c>
      <c r="D28" s="30" t="inlineStr">
        <is>
          <t>20 / 21</t>
        </is>
      </c>
      <c r="E28" s="30" t="inlineStr">
        <is>
          <t>Friend</t>
        </is>
      </c>
      <c r="F28" s="30" t="inlineStr">
        <is>
          <t>Indian</t>
        </is>
      </c>
      <c r="G28" s="30" t="n">
        <v>2</v>
      </c>
      <c r="H28" s="30" t="inlineStr">
        <is>
          <t>KP University Kanpur</t>
        </is>
      </c>
      <c r="I28" s="30" t="inlineStr">
        <is>
          <t>8957011056</t>
        </is>
      </c>
      <c r="J28" s="30" t="inlineStr">
        <is>
          <t>Kanpur</t>
        </is>
      </c>
      <c r="K28" s="30" t="inlineStr">
        <is>
          <t>Kanpur</t>
        </is>
      </c>
      <c r="L28" s="30" t="inlineStr">
        <is>
          <t>Visit</t>
        </is>
      </c>
      <c r="M28" s="30" t="inlineStr">
        <is>
          <t>29/11/24 3:37pm</t>
        </is>
      </c>
      <c r="N28" s="30" t="inlineStr">
        <is>
          <t>29/11/24 6:38pm</t>
        </is>
      </c>
      <c r="O28" s="30" t="inlineStr">
        <is>
          <t>202</t>
        </is>
      </c>
    </row>
    <row r="29">
      <c r="A29" s="30" t="n">
        <v>3</v>
      </c>
      <c r="B29" s="30" t="n">
        <v>25</v>
      </c>
      <c r="C29" s="30" t="inlineStr">
        <is>
          <t>Abhay / Anjali</t>
        </is>
      </c>
      <c r="D29" s="30" t="inlineStr">
        <is>
          <t>20 / 21</t>
        </is>
      </c>
      <c r="E29" s="30" t="inlineStr">
        <is>
          <t>Friend</t>
        </is>
      </c>
      <c r="F29" s="30" t="inlineStr">
        <is>
          <t>Indian</t>
        </is>
      </c>
      <c r="G29" s="30" t="n">
        <v>2</v>
      </c>
      <c r="H29" s="30" t="inlineStr">
        <is>
          <t>-</t>
        </is>
      </c>
      <c r="I29" s="30" t="n"/>
      <c r="J29" s="30" t="inlineStr">
        <is>
          <t>Kanpur</t>
        </is>
      </c>
      <c r="K29" s="30" t="inlineStr">
        <is>
          <t>Kanpur</t>
        </is>
      </c>
      <c r="L29" s="30" t="inlineStr">
        <is>
          <t>Visit</t>
        </is>
      </c>
      <c r="M29" s="30" t="inlineStr">
        <is>
          <t>29/11/24 6:10pm</t>
        </is>
      </c>
      <c r="N29" s="30" t="inlineStr">
        <is>
          <t>29/11/24 10:01pm</t>
        </is>
      </c>
      <c r="O29" s="30" t="inlineStr">
        <is>
          <t>202</t>
        </is>
      </c>
    </row>
    <row r="30">
      <c r="A30" s="30" t="n">
        <v>3</v>
      </c>
      <c r="B30" s="30" t="n">
        <v>26</v>
      </c>
      <c r="C30" s="30" t="inlineStr">
        <is>
          <t>Zeeshan / Umran Khatoon</t>
        </is>
      </c>
      <c r="D30" s="30" t="inlineStr">
        <is>
          <t>43 / 38</t>
        </is>
      </c>
      <c r="E30" s="30" t="inlineStr">
        <is>
          <t>Friend</t>
        </is>
      </c>
      <c r="F30" s="30" t="inlineStr">
        <is>
          <t>Indian</t>
        </is>
      </c>
      <c r="G30" s="30" t="n">
        <v>2</v>
      </c>
      <c r="H30" s="30" t="inlineStr">
        <is>
          <t>Kakadeo Kanpur</t>
        </is>
      </c>
      <c r="I30" s="30" t="n"/>
      <c r="J30" s="30" t="inlineStr">
        <is>
          <t>Kanpur</t>
        </is>
      </c>
      <c r="K30" s="30" t="inlineStr">
        <is>
          <t>Kanpur</t>
        </is>
      </c>
      <c r="L30" s="30" t="inlineStr">
        <is>
          <t>Visit</t>
        </is>
      </c>
      <c r="M30" s="30" t="inlineStr">
        <is>
          <t>30/11/24 6:15am</t>
        </is>
      </c>
      <c r="N30" s="30" t="inlineStr">
        <is>
          <t>30/11/24 9:58am</t>
        </is>
      </c>
      <c r="O30" s="30" t="inlineStr">
        <is>
          <t>203</t>
        </is>
      </c>
    </row>
    <row r="31">
      <c r="A31" s="30" t="n">
        <v>3</v>
      </c>
      <c r="B31" s="30" t="n">
        <v>27</v>
      </c>
      <c r="C31" s="30" t="inlineStr">
        <is>
          <t>Aman Verma / Sweta Pathak</t>
        </is>
      </c>
      <c r="D31" s="30" t="inlineStr">
        <is>
          <t>19 / 19</t>
        </is>
      </c>
      <c r="E31" s="30" t="inlineStr">
        <is>
          <t>Friend</t>
        </is>
      </c>
      <c r="F31" s="30" t="inlineStr">
        <is>
          <t>Indian (Passport BR02303975)</t>
        </is>
      </c>
      <c r="G31" s="30" t="n">
        <v>2</v>
      </c>
      <c r="H31" s="30" t="inlineStr">
        <is>
          <t>Rail Bazar Kanpur / Naubasta Kanpur</t>
        </is>
      </c>
      <c r="I31" s="30" t="inlineStr">
        <is>
          <t>9451930495</t>
        </is>
      </c>
      <c r="J31" s="30" t="inlineStr">
        <is>
          <t>Kanpur</t>
        </is>
      </c>
      <c r="K31" s="30" t="inlineStr">
        <is>
          <t>Kanpur</t>
        </is>
      </c>
      <c r="L31" s="30" t="inlineStr">
        <is>
          <t>Visit</t>
        </is>
      </c>
      <c r="M31" s="30" t="inlineStr">
        <is>
          <t>30/11/24 8:17am</t>
        </is>
      </c>
      <c r="N31" s="30" t="inlineStr">
        <is>
          <t>30/11/24 10:37am</t>
        </is>
      </c>
      <c r="O31" s="30" t="inlineStr">
        <is>
          <t>202</t>
        </is>
      </c>
    </row>
    <row r="32">
      <c r="A32" s="30" t="n">
        <v>3</v>
      </c>
      <c r="B32" s="30" t="n">
        <v>28</v>
      </c>
      <c r="C32" s="30" t="inlineStr">
        <is>
          <t>Krish Ranjan / Aditi Goda</t>
        </is>
      </c>
      <c r="D32" s="30" t="inlineStr">
        <is>
          <t>26 / 20</t>
        </is>
      </c>
      <c r="E32" s="30" t="inlineStr">
        <is>
          <t>Friend</t>
        </is>
      </c>
      <c r="F32" s="30" t="inlineStr">
        <is>
          <t>Indian</t>
        </is>
      </c>
      <c r="G32" s="30" t="n">
        <v>2</v>
      </c>
      <c r="H32" s="30" t="inlineStr">
        <is>
          <t>Burari New Delhi / Jhansi Mandi Road</t>
        </is>
      </c>
      <c r="I32" s="30" t="inlineStr">
        <is>
          <t>9560087592</t>
        </is>
      </c>
      <c r="J32" s="30" t="inlineStr">
        <is>
          <t>Delhi</t>
        </is>
      </c>
      <c r="K32" s="30" t="inlineStr">
        <is>
          <t>Delhi</t>
        </is>
      </c>
      <c r="L32" s="30" t="inlineStr">
        <is>
          <t>PSIT Counselling</t>
        </is>
      </c>
      <c r="M32" s="30" t="inlineStr">
        <is>
          <t>30/11/24 8:55am</t>
        </is>
      </c>
      <c r="N32" s="30" t="inlineStr">
        <is>
          <t>30/11/24 4:02pm</t>
        </is>
      </c>
      <c r="O32" s="30" t="inlineStr">
        <is>
          <t>201</t>
        </is>
      </c>
    </row>
    <row r="33">
      <c r="A33" s="30" t="n">
        <v>3</v>
      </c>
      <c r="B33" s="30" t="n">
        <v>29</v>
      </c>
      <c r="C33" s="30" t="inlineStr">
        <is>
          <t>Dolly / Harsh Siyen</t>
        </is>
      </c>
      <c r="D33" s="30" t="inlineStr">
        <is>
          <t>20 / 20</t>
        </is>
      </c>
      <c r="E33" s="30" t="inlineStr">
        <is>
          <t>Friend</t>
        </is>
      </c>
      <c r="F33" s="30" t="inlineStr">
        <is>
          <t>Indian</t>
        </is>
      </c>
      <c r="G33" s="30" t="n">
        <v>2</v>
      </c>
      <c r="H33" s="30" t="inlineStr">
        <is>
          <t>Sarigawan Kanpur</t>
        </is>
      </c>
      <c r="I33" s="30" t="inlineStr">
        <is>
          <t>6386994805</t>
        </is>
      </c>
      <c r="J33" s="30" t="inlineStr">
        <is>
          <t>Kanpur</t>
        </is>
      </c>
      <c r="K33" s="30" t="inlineStr">
        <is>
          <t>Kanpur</t>
        </is>
      </c>
      <c r="L33" s="30" t="inlineStr">
        <is>
          <t>Visit</t>
        </is>
      </c>
      <c r="M33" s="30" t="inlineStr">
        <is>
          <t>30/11/24 9:38am</t>
        </is>
      </c>
      <c r="N33" s="30" t="inlineStr">
        <is>
          <t>30/11/24 3:38pm</t>
        </is>
      </c>
      <c r="O33" s="30" t="inlineStr">
        <is>
          <t>204</t>
        </is>
      </c>
    </row>
    <row r="34">
      <c r="A34" s="30" t="n">
        <v>3</v>
      </c>
      <c r="B34" s="30" t="n">
        <v>30</v>
      </c>
      <c r="C34" s="30" t="inlineStr">
        <is>
          <t>Abhishek / Nainshi</t>
        </is>
      </c>
      <c r="D34" s="30" t="inlineStr">
        <is>
          <t>21 / 21</t>
        </is>
      </c>
      <c r="E34" s="30" t="inlineStr">
        <is>
          <t>Friend</t>
        </is>
      </c>
      <c r="F34" s="30" t="inlineStr">
        <is>
          <t>Indian</t>
        </is>
      </c>
      <c r="G34" s="30" t="n">
        <v>2</v>
      </c>
      <c r="H34" s="30" t="inlineStr">
        <is>
          <t>Kaindha Kanpur Nagar</t>
        </is>
      </c>
      <c r="I34" s="30" t="inlineStr">
        <is>
          <t>9555655493</t>
        </is>
      </c>
      <c r="J34" s="30" t="inlineStr">
        <is>
          <t>Kanpur</t>
        </is>
      </c>
      <c r="K34" s="30" t="inlineStr">
        <is>
          <t>Kanpur</t>
        </is>
      </c>
      <c r="L34" s="30" t="inlineStr">
        <is>
          <t>Visit</t>
        </is>
      </c>
      <c r="M34" s="30" t="inlineStr">
        <is>
          <t>30/11/24 11:48am</t>
        </is>
      </c>
      <c r="N34" s="30" t="inlineStr">
        <is>
          <t>30/11/24 5:40pm</t>
        </is>
      </c>
      <c r="O34" s="30" t="inlineStr">
        <is>
          <t>205</t>
        </is>
      </c>
    </row>
    <row r="35">
      <c r="A35" s="30" t="n">
        <v>3</v>
      </c>
      <c r="B35" s="30" t="n">
        <v>31</v>
      </c>
      <c r="C35" s="30" t="inlineStr">
        <is>
          <t>Prashant Gautam / Deeksha Katiyar</t>
        </is>
      </c>
      <c r="D35" s="30" t="inlineStr">
        <is>
          <t>19 / 18</t>
        </is>
      </c>
      <c r="E35" s="30" t="inlineStr">
        <is>
          <t>Friend</t>
        </is>
      </c>
      <c r="F35" s="30" t="inlineStr">
        <is>
          <t>Indian</t>
        </is>
      </c>
      <c r="G35" s="30" t="n">
        <v>2</v>
      </c>
      <c r="H35" s="30" t="inlineStr">
        <is>
          <t>Sikandra Kanpur Dehat</t>
        </is>
      </c>
      <c r="I35" s="30" t="inlineStr">
        <is>
          <t>6388895511</t>
        </is>
      </c>
      <c r="J35" s="30" t="inlineStr">
        <is>
          <t>Kanpur</t>
        </is>
      </c>
      <c r="K35" s="30" t="inlineStr">
        <is>
          <t>Kanpur</t>
        </is>
      </c>
      <c r="L35" s="30" t="inlineStr">
        <is>
          <t>Visit</t>
        </is>
      </c>
      <c r="M35" s="30" t="inlineStr">
        <is>
          <t>1/12/24 1:20pm</t>
        </is>
      </c>
      <c r="N35" s="30" t="inlineStr">
        <is>
          <t>1/12/24 4:40pm</t>
        </is>
      </c>
      <c r="O35" s="30" t="inlineStr">
        <is>
          <t>202</t>
        </is>
      </c>
    </row>
    <row r="36">
      <c r="A36" s="30" t="n">
        <v>3</v>
      </c>
      <c r="B36" s="30" t="n">
        <v>32</v>
      </c>
      <c r="C36" s="30" t="inlineStr">
        <is>
          <t>Ankit Rajput / Puja Soni</t>
        </is>
      </c>
      <c r="D36" s="30" t="inlineStr">
        <is>
          <t>19 / 20</t>
        </is>
      </c>
      <c r="E36" s="30" t="inlineStr">
        <is>
          <t>Friend</t>
        </is>
      </c>
      <c r="F36" s="30" t="inlineStr">
        <is>
          <t>Indian</t>
        </is>
      </c>
      <c r="G36" s="30" t="n">
        <v>2</v>
      </c>
      <c r="H36" s="30" t="inlineStr">
        <is>
          <t>Kathagar Kanpur / Naubasta Kanpur</t>
        </is>
      </c>
      <c r="I36" s="30" t="inlineStr">
        <is>
          <t>6386680960</t>
        </is>
      </c>
      <c r="J36" s="30" t="inlineStr">
        <is>
          <t>Kanpur</t>
        </is>
      </c>
      <c r="K36" s="30" t="inlineStr">
        <is>
          <t>Kanpur</t>
        </is>
      </c>
      <c r="L36" s="30" t="inlineStr">
        <is>
          <t>Visit</t>
        </is>
      </c>
      <c r="M36" s="30" t="inlineStr">
        <is>
          <t>1/12/24 1:34pm</t>
        </is>
      </c>
      <c r="N36" s="30" t="inlineStr">
        <is>
          <t>1/12/24 4:25pm</t>
        </is>
      </c>
      <c r="O36" s="30" t="inlineStr">
        <is>
          <t>203</t>
        </is>
      </c>
    </row>
    <row r="37">
      <c r="A37" s="30" t="n">
        <v>3</v>
      </c>
      <c r="B37" s="30" t="n">
        <v>33</v>
      </c>
      <c r="C37" s="30" t="inlineStr">
        <is>
          <t>Deepu Sonkar / Payal Yadav</t>
        </is>
      </c>
      <c r="D37" s="30" t="inlineStr">
        <is>
          <t>21 / 22</t>
        </is>
      </c>
      <c r="E37" s="30" t="inlineStr">
        <is>
          <t>Friend</t>
        </is>
      </c>
      <c r="F37" s="30" t="inlineStr">
        <is>
          <t>Indian</t>
        </is>
      </c>
      <c r="G37" s="30" t="n">
        <v>2</v>
      </c>
      <c r="H37" s="30" t="inlineStr">
        <is>
          <t>Mardanpur Kanpur Nagar</t>
        </is>
      </c>
      <c r="I37" s="30" t="inlineStr">
        <is>
          <t>6394010145</t>
        </is>
      </c>
      <c r="J37" s="30" t="inlineStr">
        <is>
          <t>Kanpur</t>
        </is>
      </c>
      <c r="K37" s="30" t="inlineStr">
        <is>
          <t>Kanpur</t>
        </is>
      </c>
      <c r="L37" s="30" t="inlineStr">
        <is>
          <t>Visit</t>
        </is>
      </c>
      <c r="M37" s="30" t="inlineStr">
        <is>
          <t>1/12/24 2:15pm</t>
        </is>
      </c>
      <c r="N37" s="30" t="inlineStr">
        <is>
          <t>1/12/24 5:02pm</t>
        </is>
      </c>
      <c r="O37" s="30" t="inlineStr">
        <is>
          <t>204</t>
        </is>
      </c>
    </row>
    <row r="38">
      <c r="A38" s="30" t="n">
        <v>3</v>
      </c>
      <c r="B38" s="30" t="n">
        <v>34</v>
      </c>
      <c r="C38" s="30" t="inlineStr">
        <is>
          <t>Ritik Kumar / Pooja</t>
        </is>
      </c>
      <c r="D38" s="30" t="inlineStr">
        <is>
          <t>22 / 22</t>
        </is>
      </c>
      <c r="E38" s="30" t="inlineStr">
        <is>
          <t>Friend</t>
        </is>
      </c>
      <c r="F38" s="30" t="inlineStr">
        <is>
          <t>Indian</t>
        </is>
      </c>
      <c r="G38" s="30" t="n">
        <v>2</v>
      </c>
      <c r="H38" s="30" t="inlineStr">
        <is>
          <t>Udhyog Nagar Kanpur / Barra Kanpur</t>
        </is>
      </c>
      <c r="I38" s="30" t="inlineStr">
        <is>
          <t>9336648998</t>
        </is>
      </c>
      <c r="J38" s="30" t="inlineStr">
        <is>
          <t>Kanpur</t>
        </is>
      </c>
      <c r="K38" s="30" t="inlineStr">
        <is>
          <t>Kanpur</t>
        </is>
      </c>
      <c r="L38" s="30" t="inlineStr">
        <is>
          <t>Visit</t>
        </is>
      </c>
      <c r="M38" s="30" t="inlineStr">
        <is>
          <t>1/12/24 4:08pm</t>
        </is>
      </c>
      <c r="N38" s="30" t="inlineStr">
        <is>
          <t>1/12/24 4:30pm</t>
        </is>
      </c>
      <c r="O38" s="30" t="inlineStr">
        <is>
          <t>201</t>
        </is>
      </c>
    </row>
    <row r="39">
      <c r="A39" s="30" t="n">
        <v>3</v>
      </c>
      <c r="B39" s="30" t="n">
        <v>35</v>
      </c>
      <c r="C39" s="30" t="inlineStr">
        <is>
          <t>Pushpendra Pal</t>
        </is>
      </c>
      <c r="D39" s="30" t="inlineStr">
        <is>
          <t>28</t>
        </is>
      </c>
      <c r="E39" s="30" t="inlineStr">
        <is>
          <t>Friend</t>
        </is>
      </c>
      <c r="F39" s="30" t="inlineStr">
        <is>
          <t>Indian</t>
        </is>
      </c>
      <c r="G39" s="30" t="n">
        <v>1</v>
      </c>
      <c r="H39" s="30" t="inlineStr">
        <is>
          <t>Barra Kanpur</t>
        </is>
      </c>
      <c r="I39" s="30" t="n"/>
      <c r="J39" s="30" t="inlineStr">
        <is>
          <t>Kanpur</t>
        </is>
      </c>
      <c r="K39" s="30" t="inlineStr">
        <is>
          <t>Kanpur</t>
        </is>
      </c>
      <c r="L39" s="30" t="inlineStr">
        <is>
          <t>Visit</t>
        </is>
      </c>
      <c r="M39" s="30" t="inlineStr">
        <is>
          <t>2/12/24 1:15pm</t>
        </is>
      </c>
      <c r="N39" s="30" t="inlineStr">
        <is>
          <t>2/12/24 5:15pm</t>
        </is>
      </c>
      <c r="O39" s="30" t="inlineStr">
        <is>
          <t>202</t>
        </is>
      </c>
    </row>
    <row r="40">
      <c r="A40" s="30" t="n">
        <v>3</v>
      </c>
      <c r="B40" s="30" t="n">
        <v>36</v>
      </c>
      <c r="C40" s="30" t="inlineStr">
        <is>
          <t>Amit Pal / Sakshi Tiwari</t>
        </is>
      </c>
      <c r="D40" s="30" t="inlineStr">
        <is>
          <t>25 / 23</t>
        </is>
      </c>
      <c r="E40" s="30" t="inlineStr">
        <is>
          <t>Friend</t>
        </is>
      </c>
      <c r="F40" s="30" t="inlineStr">
        <is>
          <t>Indian</t>
        </is>
      </c>
      <c r="G40" s="30" t="n">
        <v>2</v>
      </c>
      <c r="H40" s="30" t="inlineStr">
        <is>
          <t>Jarauli P-2 Kanpur / World Bank Barra-2</t>
        </is>
      </c>
      <c r="I40" s="30" t="inlineStr">
        <is>
          <t>7380621774</t>
        </is>
      </c>
      <c r="J40" s="30" t="inlineStr">
        <is>
          <t>Kanpur</t>
        </is>
      </c>
      <c r="K40" s="30" t="inlineStr">
        <is>
          <t>Kanpur</t>
        </is>
      </c>
      <c r="L40" s="30" t="inlineStr">
        <is>
          <t>Visit</t>
        </is>
      </c>
      <c r="M40" s="30" t="inlineStr">
        <is>
          <t>4/12/24 12:08pm</t>
        </is>
      </c>
      <c r="N40" s="30" t="inlineStr">
        <is>
          <t>4/12/24 7:10pm</t>
        </is>
      </c>
      <c r="O40" s="30" t="inlineStr">
        <is>
          <t>202</t>
        </is>
      </c>
    </row>
    <row r="41">
      <c r="A41" s="30" t="n">
        <v>4</v>
      </c>
      <c r="B41" s="30" t="n">
        <v>37</v>
      </c>
      <c r="C41" s="30" t="inlineStr">
        <is>
          <t>Santosh Diwakar / Jyoti</t>
        </is>
      </c>
      <c r="D41" s="30" t="inlineStr">
        <is>
          <t>24 / 24</t>
        </is>
      </c>
      <c r="E41" s="30" t="inlineStr">
        <is>
          <t>Friend</t>
        </is>
      </c>
      <c r="F41" s="30" t="inlineStr">
        <is>
          <t>Indian</t>
        </is>
      </c>
      <c r="G41" s="30" t="n">
        <v>2</v>
      </c>
      <c r="H41" s="30" t="inlineStr">
        <is>
          <t>Juhi Colony Kanpur</t>
        </is>
      </c>
      <c r="I41" s="30" t="inlineStr">
        <is>
          <t>8858377720</t>
        </is>
      </c>
      <c r="J41" s="30" t="inlineStr">
        <is>
          <t>Kanpur</t>
        </is>
      </c>
      <c r="K41" s="30" t="inlineStr">
        <is>
          <t>Kanpur</t>
        </is>
      </c>
      <c r="L41" s="30" t="inlineStr">
        <is>
          <t>Visit</t>
        </is>
      </c>
      <c r="M41" s="30" t="inlineStr">
        <is>
          <t>4/12/24 12:50pm</t>
        </is>
      </c>
      <c r="N41" s="30" t="inlineStr">
        <is>
          <t>4/12/24 3:10pm</t>
        </is>
      </c>
      <c r="O41" s="30" t="inlineStr">
        <is>
          <t>203</t>
        </is>
      </c>
    </row>
    <row r="42">
      <c r="A42" s="30" t="n">
        <v>4</v>
      </c>
      <c r="B42" s="30" t="n">
        <v>38</v>
      </c>
      <c r="C42" s="30" t="inlineStr">
        <is>
          <t>Shubham Bagde / Niraj Kumar / Abhishek Kumar</t>
        </is>
      </c>
      <c r="D42" s="30" t="inlineStr">
        <is>
          <t>26 / 25 / 27</t>
        </is>
      </c>
      <c r="E42" s="30" t="inlineStr">
        <is>
          <t>Friend</t>
        </is>
      </c>
      <c r="F42" s="30" t="inlineStr">
        <is>
          <t>Indian</t>
        </is>
      </c>
      <c r="G42" s="30" t="n">
        <v>3</v>
      </c>
      <c r="H42" s="30" t="inlineStr">
        <is>
          <t>Balaghat (M.P.) / Jagatpur Bihar / Nalanda Bihar</t>
        </is>
      </c>
      <c r="I42" s="30" t="inlineStr">
        <is>
          <t>9749471640</t>
        </is>
      </c>
      <c r="J42" s="30" t="inlineStr">
        <is>
          <t>Balaghat / Nalanda</t>
        </is>
      </c>
      <c r="K42" s="30" t="inlineStr">
        <is>
          <t>Balaghat / Nalanda</t>
        </is>
      </c>
      <c r="L42" s="30" t="inlineStr">
        <is>
          <t>Training</t>
        </is>
      </c>
      <c r="M42" s="30" t="inlineStr">
        <is>
          <t>4/12/24 1:20pm</t>
        </is>
      </c>
      <c r="N42" s="30" t="n"/>
      <c r="O42" s="30" t="inlineStr">
        <is>
          <t>204</t>
        </is>
      </c>
    </row>
    <row r="43">
      <c r="A43" s="30" t="n">
        <v>4</v>
      </c>
      <c r="B43" s="30" t="n">
        <v>39</v>
      </c>
      <c r="C43" s="30" t="inlineStr">
        <is>
          <t>Nikhil</t>
        </is>
      </c>
      <c r="D43" s="30" t="inlineStr">
        <is>
          <t>22</t>
        </is>
      </c>
      <c r="E43" s="30" t="inlineStr">
        <is>
          <t>Friend</t>
        </is>
      </c>
      <c r="F43" s="30" t="inlineStr">
        <is>
          <t>Indian</t>
        </is>
      </c>
      <c r="G43" s="30" t="n">
        <v>1</v>
      </c>
      <c r="H43" s="30" t="inlineStr">
        <is>
          <t>Naubasta Kanpur Nagar</t>
        </is>
      </c>
      <c r="I43" s="30" t="inlineStr">
        <is>
          <t>7309064199</t>
        </is>
      </c>
      <c r="J43" s="30" t="inlineStr">
        <is>
          <t>Kanpur</t>
        </is>
      </c>
      <c r="K43" s="30" t="inlineStr">
        <is>
          <t>Kanpur</t>
        </is>
      </c>
      <c r="L43" s="30" t="inlineStr">
        <is>
          <t>Visit</t>
        </is>
      </c>
      <c r="M43" s="30" t="inlineStr">
        <is>
          <t>5/12/24 11:40</t>
        </is>
      </c>
      <c r="N43" s="30" t="n"/>
      <c r="O43" s="30" t="inlineStr">
        <is>
          <t>202</t>
        </is>
      </c>
    </row>
    <row r="44">
      <c r="A44" s="30" t="n">
        <v>4</v>
      </c>
      <c r="B44" s="30" t="n">
        <v>40</v>
      </c>
      <c r="C44" s="30" t="inlineStr">
        <is>
          <t>Ankush / Anju</t>
        </is>
      </c>
      <c r="D44" s="30" t="inlineStr">
        <is>
          <t>27 / 24</t>
        </is>
      </c>
      <c r="E44" s="30" t="inlineStr">
        <is>
          <t>Friend</t>
        </is>
      </c>
      <c r="F44" s="30" t="inlineStr">
        <is>
          <t>Indian</t>
        </is>
      </c>
      <c r="G44" s="30" t="n">
        <v>2</v>
      </c>
      <c r="H44" s="30" t="inlineStr">
        <is>
          <t>-</t>
        </is>
      </c>
      <c r="I44" s="30" t="inlineStr">
        <is>
          <t>8858787467</t>
        </is>
      </c>
      <c r="J44" s="30" t="inlineStr">
        <is>
          <t>Kanpur</t>
        </is>
      </c>
      <c r="K44" s="30" t="inlineStr">
        <is>
          <t>Kanpur</t>
        </is>
      </c>
      <c r="L44" s="30" t="inlineStr">
        <is>
          <t>Visit</t>
        </is>
      </c>
      <c r="M44" s="30" t="inlineStr">
        <is>
          <t>8/12/24 11:30am</t>
        </is>
      </c>
      <c r="N44" s="30" t="inlineStr">
        <is>
          <t>8/12/24 4:30pm</t>
        </is>
      </c>
      <c r="O44" s="30" t="inlineStr">
        <is>
          <t>201</t>
        </is>
      </c>
    </row>
    <row r="45">
      <c r="A45" s="30" t="n">
        <v>4</v>
      </c>
      <c r="B45" s="30" t="n">
        <v>41</v>
      </c>
      <c r="C45" s="30" t="inlineStr">
        <is>
          <t>Naitik Sharma / Aarti</t>
        </is>
      </c>
      <c r="D45" s="30" t="n"/>
      <c r="E45" s="30" t="inlineStr">
        <is>
          <t>Friend</t>
        </is>
      </c>
      <c r="F45" s="30" t="inlineStr">
        <is>
          <t>Indian</t>
        </is>
      </c>
      <c r="G45" s="30" t="n">
        <v>2</v>
      </c>
      <c r="H45" s="30" t="inlineStr">
        <is>
          <t>175/2 Sanjay Gandhi Nagar Naubasta Kanpur</t>
        </is>
      </c>
      <c r="I45" s="31" t="inlineStr">
        <is>
          <t>VERIFY 888721913 (9 digits as written)</t>
        </is>
      </c>
      <c r="J45" s="30" t="inlineStr">
        <is>
          <t>Kanpur</t>
        </is>
      </c>
      <c r="K45" s="30" t="inlineStr">
        <is>
          <t>Kanpur</t>
        </is>
      </c>
      <c r="L45" s="30" t="inlineStr">
        <is>
          <t>Visit</t>
        </is>
      </c>
      <c r="M45" s="30" t="inlineStr">
        <is>
          <t>8/12/24 7:15pm</t>
        </is>
      </c>
      <c r="N45" s="30" t="inlineStr">
        <is>
          <t>8/12/24</t>
        </is>
      </c>
      <c r="O45" s="30" t="inlineStr">
        <is>
          <t>202</t>
        </is>
      </c>
    </row>
    <row r="46">
      <c r="A46" s="30" t="n">
        <v>4</v>
      </c>
      <c r="B46" s="30" t="n">
        <v>42</v>
      </c>
      <c r="C46" s="30" t="inlineStr">
        <is>
          <t>Abhishek / Bhavya Bajpai</t>
        </is>
      </c>
      <c r="D46" s="30" t="inlineStr">
        <is>
          <t>19 / 18</t>
        </is>
      </c>
      <c r="E46" s="30" t="inlineStr">
        <is>
          <t>Friend</t>
        </is>
      </c>
      <c r="F46" s="30" t="inlineStr">
        <is>
          <t>Indian</t>
        </is>
      </c>
      <c r="G46" s="30" t="n">
        <v>2</v>
      </c>
      <c r="H46" s="30" t="inlineStr">
        <is>
          <t>125 Sanjay Gandhi Nagar Naubasta Kanpur</t>
        </is>
      </c>
      <c r="I46" s="30" t="inlineStr">
        <is>
          <t>7389719431</t>
        </is>
      </c>
      <c r="J46" s="30" t="inlineStr">
        <is>
          <t>Kanpur</t>
        </is>
      </c>
      <c r="K46" s="30" t="inlineStr">
        <is>
          <t>Kanpur</t>
        </is>
      </c>
      <c r="L46" s="30" t="inlineStr">
        <is>
          <t>Visit</t>
        </is>
      </c>
      <c r="M46" s="30" t="inlineStr">
        <is>
          <t>9/12/24 11:30am</t>
        </is>
      </c>
      <c r="N46" s="30" t="inlineStr">
        <is>
          <t>9/12/24 2:23pm</t>
        </is>
      </c>
      <c r="O46" s="30" t="inlineStr">
        <is>
          <t>201</t>
        </is>
      </c>
    </row>
    <row r="47">
      <c r="A47" s="30" t="n">
        <v>4</v>
      </c>
      <c r="B47" s="30" t="n">
        <v>43</v>
      </c>
      <c r="C47" s="30" t="inlineStr">
        <is>
          <t>Aditya / Prinku Kumari</t>
        </is>
      </c>
      <c r="D47" s="30" t="inlineStr">
        <is>
          <t>19 / 19</t>
        </is>
      </c>
      <c r="E47" s="30" t="inlineStr">
        <is>
          <t>Friend</t>
        </is>
      </c>
      <c r="F47" s="30" t="inlineStr">
        <is>
          <t>Indian (ID 617989404989)</t>
        </is>
      </c>
      <c r="G47" s="30" t="n">
        <v>2</v>
      </c>
      <c r="H47" s="30" t="inlineStr">
        <is>
          <t>K-49 World Bank Barra Kanpur</t>
        </is>
      </c>
      <c r="I47" s="30" t="inlineStr">
        <is>
          <t>8112878912</t>
        </is>
      </c>
      <c r="J47" s="30" t="inlineStr">
        <is>
          <t>Kanpur</t>
        </is>
      </c>
      <c r="K47" s="30" t="inlineStr">
        <is>
          <t>Kanpur</t>
        </is>
      </c>
      <c r="L47" s="30" t="inlineStr">
        <is>
          <t>Visit</t>
        </is>
      </c>
      <c r="M47" s="30" t="inlineStr">
        <is>
          <t>9/12/24 12:10pm</t>
        </is>
      </c>
      <c r="N47" s="30" t="inlineStr">
        <is>
          <t>9/12/24 1:10pm</t>
        </is>
      </c>
      <c r="O47" s="30" t="inlineStr">
        <is>
          <t>202</t>
        </is>
      </c>
    </row>
    <row r="48">
      <c r="A48" s="30" t="n">
        <v>4</v>
      </c>
      <c r="B48" s="30" t="n">
        <v>44</v>
      </c>
      <c r="C48" s="30" t="inlineStr">
        <is>
          <t>Ranjeet Singh / Simran Singh</t>
        </is>
      </c>
      <c r="D48" s="30" t="inlineStr">
        <is>
          <t>50 / 22</t>
        </is>
      </c>
      <c r="E48" s="30" t="inlineStr">
        <is>
          <t>Friend</t>
        </is>
      </c>
      <c r="F48" s="30" t="inlineStr">
        <is>
          <t>Indian (Aadhaar 233691668999)</t>
        </is>
      </c>
      <c r="G48" s="30" t="n">
        <v>2</v>
      </c>
      <c r="H48" s="30" t="inlineStr">
        <is>
          <t>-</t>
        </is>
      </c>
      <c r="I48" s="30" t="inlineStr">
        <is>
          <t>9936019961</t>
        </is>
      </c>
      <c r="J48" s="30" t="inlineStr">
        <is>
          <t>Kanpur</t>
        </is>
      </c>
      <c r="K48" s="30" t="inlineStr">
        <is>
          <t>Kanpur</t>
        </is>
      </c>
      <c r="L48" s="30" t="inlineStr">
        <is>
          <t>Visit</t>
        </is>
      </c>
      <c r="M48" s="30" t="inlineStr">
        <is>
          <t>9/12/24 7:59pm</t>
        </is>
      </c>
      <c r="N48" s="30" t="n"/>
      <c r="O48" s="30" t="n"/>
    </row>
    <row r="49">
      <c r="A49" s="30" t="n">
        <v>4</v>
      </c>
      <c r="B49" s="30" t="n">
        <v>45</v>
      </c>
      <c r="C49" s="30" t="inlineStr">
        <is>
          <t>Abhay / Anjali</t>
        </is>
      </c>
      <c r="D49" s="30" t="inlineStr">
        <is>
          <t>20 / 20</t>
        </is>
      </c>
      <c r="E49" s="30" t="inlineStr">
        <is>
          <t>Friend</t>
        </is>
      </c>
      <c r="F49" s="30" t="inlineStr">
        <is>
          <t>India</t>
        </is>
      </c>
      <c r="G49" s="30" t="n">
        <v>2</v>
      </c>
      <c r="H49" s="30" t="inlineStr">
        <is>
          <t>479 Baktauri Purwa</t>
        </is>
      </c>
      <c r="I49" s="30" t="inlineStr">
        <is>
          <t>9696972862</t>
        </is>
      </c>
      <c r="J49" s="30" t="inlineStr">
        <is>
          <t>Kanpur</t>
        </is>
      </c>
      <c r="K49" s="30" t="inlineStr">
        <is>
          <t>Kanpur</t>
        </is>
      </c>
      <c r="L49" s="30" t="inlineStr">
        <is>
          <t>Visit</t>
        </is>
      </c>
      <c r="M49" s="30" t="inlineStr">
        <is>
          <t>11/12/24 4:30pm</t>
        </is>
      </c>
      <c r="N49" s="30" t="inlineStr">
        <is>
          <t>11/12/24</t>
        </is>
      </c>
      <c r="O49" s="30" t="n"/>
    </row>
    <row r="50">
      <c r="A50" s="30" t="n">
        <v>4</v>
      </c>
      <c r="B50" s="30" t="n">
        <v>46</v>
      </c>
      <c r="C50" s="30" t="inlineStr">
        <is>
          <t>Sandeep Kumar / Saloni</t>
        </is>
      </c>
      <c r="D50" s="30" t="inlineStr">
        <is>
          <t>20 / 21</t>
        </is>
      </c>
      <c r="E50" s="30" t="inlineStr">
        <is>
          <t>Friend</t>
        </is>
      </c>
      <c r="F50" s="30" t="inlineStr">
        <is>
          <t>India (IDs 858598889385, 438672829438)</t>
        </is>
      </c>
      <c r="G50" s="30" t="n">
        <v>2</v>
      </c>
      <c r="H50" s="30" t="inlineStr">
        <is>
          <t>358 K.P. (Hindi, unclear)</t>
        </is>
      </c>
      <c r="I50" s="30" t="inlineStr">
        <is>
          <t>8957011856</t>
        </is>
      </c>
      <c r="J50" s="30" t="inlineStr">
        <is>
          <t>Kanpur</t>
        </is>
      </c>
      <c r="K50" s="30" t="inlineStr">
        <is>
          <t>Kanpur</t>
        </is>
      </c>
      <c r="L50" s="30" t="inlineStr">
        <is>
          <t>Visit</t>
        </is>
      </c>
      <c r="M50" s="30" t="inlineStr">
        <is>
          <t>11/12/24 4:38pm</t>
        </is>
      </c>
      <c r="N50" s="30" t="inlineStr">
        <is>
          <t>11/12/24 6:28pm</t>
        </is>
      </c>
      <c r="O50" s="30" t="n"/>
    </row>
    <row r="51">
      <c r="A51" s="30" t="n">
        <v>4</v>
      </c>
      <c r="B51" s="30" t="n">
        <v>47</v>
      </c>
      <c r="C51" s="30" t="inlineStr">
        <is>
          <t>Siddhant / Khushi</t>
        </is>
      </c>
      <c r="D51" s="30" t="inlineStr">
        <is>
          <t>18 / 18</t>
        </is>
      </c>
      <c r="E51" s="30" t="inlineStr">
        <is>
          <t>Friend</t>
        </is>
      </c>
      <c r="F51" s="30" t="inlineStr">
        <is>
          <t>Indian (IDs S0961451922 / 08322586304)</t>
        </is>
      </c>
      <c r="G51" s="30" t="n">
        <v>2</v>
      </c>
      <c r="H51" s="30" t="inlineStr">
        <is>
          <t>Govind Nagar</t>
        </is>
      </c>
      <c r="I51" s="31" t="inlineStr">
        <is>
          <t>VERIFY 0997816972 (0040033089 struck out)</t>
        </is>
      </c>
      <c r="J51" s="30" t="inlineStr">
        <is>
          <t>Kanpur</t>
        </is>
      </c>
      <c r="K51" s="30" t="inlineStr">
        <is>
          <t>Kanpur</t>
        </is>
      </c>
      <c r="L51" s="30" t="inlineStr">
        <is>
          <t>Visit</t>
        </is>
      </c>
      <c r="M51" s="30" t="inlineStr">
        <is>
          <t>11/12/24 11:45</t>
        </is>
      </c>
      <c r="N51" s="30" t="inlineStr">
        <is>
          <t>11/12/24 4:00pm</t>
        </is>
      </c>
      <c r="O51" s="30" t="inlineStr">
        <is>
          <t>202</t>
        </is>
      </c>
    </row>
    <row r="52">
      <c r="A52" s="30" t="n">
        <v>4</v>
      </c>
      <c r="B52" s="30" t="n">
        <v>48</v>
      </c>
      <c r="C52" s="30" t="inlineStr">
        <is>
          <t>Pratham Gupta / Salomi</t>
        </is>
      </c>
      <c r="D52" s="30" t="inlineStr">
        <is>
          <t>24 / 21</t>
        </is>
      </c>
      <c r="E52" s="30" t="inlineStr">
        <is>
          <t>Friend</t>
        </is>
      </c>
      <c r="F52" s="30" t="inlineStr">
        <is>
          <t>Indian</t>
        </is>
      </c>
      <c r="G52" s="30" t="n">
        <v>2</v>
      </c>
      <c r="H52" s="30" t="inlineStr">
        <is>
          <t>-</t>
        </is>
      </c>
      <c r="I52" s="30" t="inlineStr">
        <is>
          <t>9838510455</t>
        </is>
      </c>
      <c r="J52" s="30" t="inlineStr">
        <is>
          <t>Kanpur</t>
        </is>
      </c>
      <c r="K52" s="30" t="inlineStr">
        <is>
          <t>Kanpur</t>
        </is>
      </c>
      <c r="L52" s="30" t="inlineStr">
        <is>
          <t>Visit</t>
        </is>
      </c>
      <c r="M52" s="30" t="inlineStr">
        <is>
          <t>13/12/24</t>
        </is>
      </c>
      <c r="N52" s="30" t="inlineStr">
        <is>
          <t>13/12/24</t>
        </is>
      </c>
      <c r="O52" s="30" t="n"/>
    </row>
    <row r="53">
      <c r="A53" s="30" t="n">
        <v>5</v>
      </c>
      <c r="B53" s="30" t="n">
        <v>49</v>
      </c>
      <c r="C53" s="30" t="inlineStr">
        <is>
          <t>Reshmi / Akshat</t>
        </is>
      </c>
      <c r="D53" s="30" t="inlineStr">
        <is>
          <t>22 / 24</t>
        </is>
      </c>
      <c r="E53" s="30" t="inlineStr">
        <is>
          <t>Friend</t>
        </is>
      </c>
      <c r="F53" s="30" t="inlineStr">
        <is>
          <t>Indian (IDs 934511336989, 9505...)</t>
        </is>
      </c>
      <c r="G53" s="30" t="n">
        <v>2</v>
      </c>
      <c r="H53" s="30" t="inlineStr">
        <is>
          <t>33E/9, 2nd Udyog Nagar Kanpur (Hindi)</t>
        </is>
      </c>
      <c r="I53" s="30" t="inlineStr">
        <is>
          <t>8445247938</t>
        </is>
      </c>
      <c r="J53" s="30" t="inlineStr">
        <is>
          <t>Kanpur</t>
        </is>
      </c>
      <c r="K53" s="30" t="inlineStr">
        <is>
          <t>Kanpur</t>
        </is>
      </c>
      <c r="L53" s="30" t="inlineStr">
        <is>
          <t>Visit</t>
        </is>
      </c>
      <c r="M53" s="30" t="inlineStr">
        <is>
          <t>13/12/24 4:20pm</t>
        </is>
      </c>
      <c r="N53" s="30" t="inlineStr">
        <is>
          <t>13/12/24 6:35pm</t>
        </is>
      </c>
      <c r="O53" s="30" t="inlineStr">
        <is>
          <t>201</t>
        </is>
      </c>
    </row>
    <row r="54">
      <c r="A54" s="30" t="n">
        <v>5</v>
      </c>
      <c r="B54" s="30" t="n">
        <v>50</v>
      </c>
      <c r="C54" s="30" t="inlineStr">
        <is>
          <t>Alok / Savita</t>
        </is>
      </c>
      <c r="D54" s="30" t="inlineStr">
        <is>
          <t>20 / 24</t>
        </is>
      </c>
      <c r="E54" s="30" t="inlineStr">
        <is>
          <t>Friend</t>
        </is>
      </c>
      <c r="F54" s="30" t="inlineStr">
        <is>
          <t>Indian (IDs 869854011974, 245808476904)</t>
        </is>
      </c>
      <c r="G54" s="30" t="n">
        <v>2</v>
      </c>
      <c r="H54" s="30" t="inlineStr">
        <is>
          <t>Devli West Kanpur / Ratan Lal Nagar (Hindi)</t>
        </is>
      </c>
      <c r="I54" s="30" t="inlineStr">
        <is>
          <t>7080956577</t>
        </is>
      </c>
      <c r="J54" s="30" t="inlineStr">
        <is>
          <t>Kanpur</t>
        </is>
      </c>
      <c r="K54" s="30" t="inlineStr">
        <is>
          <t>Kanpur</t>
        </is>
      </c>
      <c r="L54" s="30" t="inlineStr">
        <is>
          <t>Visit</t>
        </is>
      </c>
      <c r="M54" s="30" t="inlineStr">
        <is>
          <t>14/12/24 12:15pm</t>
        </is>
      </c>
      <c r="N54" s="30" t="inlineStr">
        <is>
          <t>14/12/24 4:59pm</t>
        </is>
      </c>
      <c r="O54" s="30" t="inlineStr">
        <is>
          <t>202</t>
        </is>
      </c>
    </row>
    <row r="55">
      <c r="A55" s="30" t="n">
        <v>5</v>
      </c>
      <c r="B55" s="30" t="n">
        <v>51</v>
      </c>
      <c r="C55" s="30" t="inlineStr">
        <is>
          <t>(Hindi name) / Arti</t>
        </is>
      </c>
      <c r="D55" s="30" t="inlineStr">
        <is>
          <t>24 / 24</t>
        </is>
      </c>
      <c r="E55" s="30" t="inlineStr">
        <is>
          <t>Friend</t>
        </is>
      </c>
      <c r="F55" s="30" t="inlineStr">
        <is>
          <t>Indian (IDs 442301316113, 476830470187)</t>
        </is>
      </c>
      <c r="G55" s="30" t="n">
        <v>2</v>
      </c>
      <c r="H55" s="30" t="inlineStr">
        <is>
          <t>612 (Hindi)</t>
        </is>
      </c>
      <c r="I55" s="30" t="inlineStr">
        <is>
          <t>8858377320</t>
        </is>
      </c>
      <c r="J55" s="30" t="inlineStr">
        <is>
          <t>Kanpur</t>
        </is>
      </c>
      <c r="K55" s="30" t="inlineStr">
        <is>
          <t>Kanpur</t>
        </is>
      </c>
      <c r="L55" s="30" t="inlineStr">
        <is>
          <t>Visit</t>
        </is>
      </c>
      <c r="M55" s="30" t="inlineStr">
        <is>
          <t>15/12/24 12:32pm</t>
        </is>
      </c>
      <c r="N55" s="30" t="inlineStr">
        <is>
          <t>15/12/24 2:40pm</t>
        </is>
      </c>
      <c r="O55" s="30" t="inlineStr">
        <is>
          <t>201</t>
        </is>
      </c>
    </row>
    <row r="56">
      <c r="A56" s="30" t="n">
        <v>5</v>
      </c>
      <c r="B56" s="30" t="n">
        <v>52</v>
      </c>
      <c r="C56" s="30" t="inlineStr">
        <is>
          <t>Aman / Shaivee</t>
        </is>
      </c>
      <c r="D56" s="30" t="inlineStr">
        <is>
          <t>22 / 21</t>
        </is>
      </c>
      <c r="E56" s="30" t="inlineStr">
        <is>
          <t>Friend</t>
        </is>
      </c>
      <c r="F56" s="30" t="inlineStr">
        <is>
          <t>Indian (IDs 663341976909, 897275107569)</t>
        </is>
      </c>
      <c r="G56" s="30" t="n">
        <v>2</v>
      </c>
      <c r="H56" s="30" t="inlineStr">
        <is>
          <t>67 Bhauri Road Ramaipur</t>
        </is>
      </c>
      <c r="I56" s="30" t="inlineStr">
        <is>
          <t>9129124101</t>
        </is>
      </c>
      <c r="J56" s="30" t="inlineStr">
        <is>
          <t>Kanpur</t>
        </is>
      </c>
      <c r="K56" s="30" t="inlineStr">
        <is>
          <t>Kanpur</t>
        </is>
      </c>
      <c r="L56" s="30" t="inlineStr">
        <is>
          <t>Visit</t>
        </is>
      </c>
      <c r="M56" s="30" t="inlineStr">
        <is>
          <t>16/12/24 9:04am</t>
        </is>
      </c>
      <c r="N56" s="30" t="inlineStr">
        <is>
          <t>16/12/24 11:00am</t>
        </is>
      </c>
      <c r="O56" s="30" t="inlineStr">
        <is>
          <t>202</t>
        </is>
      </c>
    </row>
    <row r="57">
      <c r="A57" s="30" t="n">
        <v>5</v>
      </c>
      <c r="B57" s="30" t="n">
        <v>53</v>
      </c>
      <c r="C57" s="30" t="inlineStr">
        <is>
          <t>Abhay / Anjali</t>
        </is>
      </c>
      <c r="D57" s="30" t="inlineStr">
        <is>
          <t>20 / 20</t>
        </is>
      </c>
      <c r="E57" s="30" t="inlineStr">
        <is>
          <t>Friend</t>
        </is>
      </c>
      <c r="F57" s="30" t="inlineStr">
        <is>
          <t>Indian (IDs 309719208445, 501274126550)</t>
        </is>
      </c>
      <c r="G57" s="30" t="n">
        <v>2</v>
      </c>
      <c r="H57" s="30" t="inlineStr">
        <is>
          <t>Dwivedi Nagar Naubasta Kanpur</t>
        </is>
      </c>
      <c r="I57" s="30" t="inlineStr">
        <is>
          <t>9696972862</t>
        </is>
      </c>
      <c r="J57" s="30" t="inlineStr">
        <is>
          <t>Kanpur</t>
        </is>
      </c>
      <c r="K57" s="30" t="inlineStr">
        <is>
          <t>Kanpur</t>
        </is>
      </c>
      <c r="L57" s="30" t="inlineStr">
        <is>
          <t>Visit</t>
        </is>
      </c>
      <c r="M57" s="30" t="inlineStr">
        <is>
          <t>17/12/24 3:15pm</t>
        </is>
      </c>
      <c r="N57" s="30" t="inlineStr">
        <is>
          <t>17/12/24 10:00pm</t>
        </is>
      </c>
      <c r="O57" s="30" t="inlineStr">
        <is>
          <t>201</t>
        </is>
      </c>
    </row>
    <row r="58">
      <c r="A58" s="30" t="n">
        <v>5</v>
      </c>
      <c r="B58" s="30" t="n">
        <v>54</v>
      </c>
      <c r="C58" s="30" t="inlineStr">
        <is>
          <t>Sandeep Kumar / Saloni Rathore</t>
        </is>
      </c>
      <c r="D58" s="30" t="inlineStr">
        <is>
          <t>20 / 21</t>
        </is>
      </c>
      <c r="E58" s="30" t="inlineStr">
        <is>
          <t>Friend</t>
        </is>
      </c>
      <c r="F58" s="30" t="inlineStr">
        <is>
          <t>Indian (IDs 858598889385, 438672829438)</t>
        </is>
      </c>
      <c r="G58" s="30" t="n">
        <v>2</v>
      </c>
      <c r="H58" s="30" t="inlineStr">
        <is>
          <t>K.P University Kanpur</t>
        </is>
      </c>
      <c r="I58" s="30" t="inlineStr">
        <is>
          <t>8957011856</t>
        </is>
      </c>
      <c r="J58" s="30" t="inlineStr">
        <is>
          <t>Kanpur</t>
        </is>
      </c>
      <c r="K58" s="30" t="inlineStr">
        <is>
          <t>Kanpur</t>
        </is>
      </c>
      <c r="L58" s="30" t="inlineStr">
        <is>
          <t>Visit</t>
        </is>
      </c>
      <c r="M58" s="30" t="inlineStr">
        <is>
          <t>17/12/24 4:08pm</t>
        </is>
      </c>
      <c r="N58" s="30" t="inlineStr">
        <is>
          <t>17/12/24 6:30pm</t>
        </is>
      </c>
      <c r="O58" s="30" t="inlineStr">
        <is>
          <t>202</t>
        </is>
      </c>
    </row>
    <row r="59">
      <c r="A59" s="30" t="n">
        <v>5</v>
      </c>
      <c r="B59" s="30" t="n">
        <v>55</v>
      </c>
      <c r="C59" s="30" t="inlineStr">
        <is>
          <t>Naitik Sharma / Aarti Rajput</t>
        </is>
      </c>
      <c r="D59" s="30" t="inlineStr">
        <is>
          <t>23 / 20</t>
        </is>
      </c>
      <c r="E59" s="30" t="inlineStr">
        <is>
          <t>Friend</t>
        </is>
      </c>
      <c r="F59" s="30" t="inlineStr">
        <is>
          <t>Indian (IDs 426777347831, 450367271649)</t>
        </is>
      </c>
      <c r="G59" s="30" t="n">
        <v>2</v>
      </c>
      <c r="H59" s="30" t="inlineStr">
        <is>
          <t>175/2 Sanjay Gandhi Nagar</t>
        </is>
      </c>
      <c r="I59" s="30" t="inlineStr">
        <is>
          <t>8429360908</t>
        </is>
      </c>
      <c r="J59" s="30" t="inlineStr">
        <is>
          <t>Kanpur</t>
        </is>
      </c>
      <c r="K59" s="30" t="inlineStr">
        <is>
          <t>Kanpur</t>
        </is>
      </c>
      <c r="L59" s="30" t="inlineStr">
        <is>
          <t>Visit</t>
        </is>
      </c>
      <c r="M59" s="30" t="inlineStr">
        <is>
          <t>18/12/24 11:34am</t>
        </is>
      </c>
      <c r="N59" s="30" t="inlineStr">
        <is>
          <t>18/12/24 2:15pm</t>
        </is>
      </c>
      <c r="O59" s="30" t="inlineStr">
        <is>
          <t>201</t>
        </is>
      </c>
    </row>
    <row r="60">
      <c r="A60" s="30" t="n">
        <v>5</v>
      </c>
      <c r="B60" s="30" t="n">
        <v>56</v>
      </c>
      <c r="C60" s="30" t="inlineStr">
        <is>
          <t>Ankit Singh / Km Shweta</t>
        </is>
      </c>
      <c r="D60" s="30" t="inlineStr">
        <is>
          <t>30 / 24</t>
        </is>
      </c>
      <c r="E60" s="30" t="inlineStr">
        <is>
          <t>Friend</t>
        </is>
      </c>
      <c r="F60" s="30" t="inlineStr">
        <is>
          <t>Indian (IDs 717704450267, 555780750784)</t>
        </is>
      </c>
      <c r="G60" s="30" t="n">
        <v>2</v>
      </c>
      <c r="H60" s="30" t="inlineStr">
        <is>
          <t>Dakshin Para Fatehpur Kanpur</t>
        </is>
      </c>
      <c r="I60" s="30" t="inlineStr">
        <is>
          <t>8542845391</t>
        </is>
      </c>
      <c r="J60" s="30" t="inlineStr">
        <is>
          <t>Kanpur</t>
        </is>
      </c>
      <c r="K60" s="30" t="inlineStr">
        <is>
          <t>Kanpur</t>
        </is>
      </c>
      <c r="L60" s="30" t="inlineStr">
        <is>
          <t>Visit</t>
        </is>
      </c>
      <c r="M60" s="30" t="inlineStr">
        <is>
          <t>18/12/24 1:57pm</t>
        </is>
      </c>
      <c r="N60" s="30" t="inlineStr">
        <is>
          <t>18/12/24 5:30pm</t>
        </is>
      </c>
      <c r="O60" s="30" t="inlineStr">
        <is>
          <t>202</t>
        </is>
      </c>
    </row>
    <row r="61">
      <c r="A61" s="30" t="n">
        <v>5</v>
      </c>
      <c r="B61" s="30" t="n">
        <v>57</v>
      </c>
      <c r="C61" s="30" t="inlineStr">
        <is>
          <t>Amit Kumar Pal / Shakshi Tiwari</t>
        </is>
      </c>
      <c r="D61" s="30" t="inlineStr">
        <is>
          <t>25 / 23</t>
        </is>
      </c>
      <c r="E61" s="30" t="inlineStr">
        <is>
          <t>Friend</t>
        </is>
      </c>
      <c r="F61" s="30" t="inlineStr">
        <is>
          <t>Indian (IDs 881719681296, 426183674046)</t>
        </is>
      </c>
      <c r="G61" s="30" t="n">
        <v>2</v>
      </c>
      <c r="H61" s="30" t="inlineStr">
        <is>
          <t>Jarauli Phase-2 / Bihari Purwa Barra Kanpur</t>
        </is>
      </c>
      <c r="I61" s="30" t="inlineStr">
        <is>
          <t>7380621774</t>
        </is>
      </c>
      <c r="J61" s="30" t="inlineStr">
        <is>
          <t>Kanpur</t>
        </is>
      </c>
      <c r="K61" s="30" t="inlineStr">
        <is>
          <t>Kanpur</t>
        </is>
      </c>
      <c r="L61" s="30" t="inlineStr">
        <is>
          <t>Visit</t>
        </is>
      </c>
      <c r="M61" s="30" t="inlineStr">
        <is>
          <t>19/12/24 12:33pm</t>
        </is>
      </c>
      <c r="N61" s="30" t="inlineStr">
        <is>
          <t>19/12/24 7:30pm</t>
        </is>
      </c>
      <c r="O61" s="30" t="inlineStr">
        <is>
          <t>201</t>
        </is>
      </c>
    </row>
    <row r="62">
      <c r="A62" s="30" t="n">
        <v>5</v>
      </c>
      <c r="B62" s="30" t="n">
        <v>58</v>
      </c>
      <c r="C62" s="30" t="inlineStr">
        <is>
          <t>Bhanu Tiwari / Raksha Kesarwani</t>
        </is>
      </c>
      <c r="D62" s="30" t="inlineStr">
        <is>
          <t>26 / 25</t>
        </is>
      </c>
      <c r="E62" s="30" t="inlineStr">
        <is>
          <t>Friend</t>
        </is>
      </c>
      <c r="F62" s="30" t="inlineStr">
        <is>
          <t>Indian (IDs 430911844450, 813393435573)</t>
        </is>
      </c>
      <c r="G62" s="30" t="n">
        <v>2</v>
      </c>
      <c r="H62" s="30" t="inlineStr">
        <is>
          <t>-</t>
        </is>
      </c>
      <c r="I62" s="30" t="inlineStr">
        <is>
          <t>9555076709</t>
        </is>
      </c>
      <c r="J62" s="30" t="inlineStr">
        <is>
          <t>Kanpur</t>
        </is>
      </c>
      <c r="K62" s="30" t="inlineStr">
        <is>
          <t>Kanpur</t>
        </is>
      </c>
      <c r="L62" s="30" t="inlineStr">
        <is>
          <t>Visit</t>
        </is>
      </c>
      <c r="M62" s="30" t="inlineStr">
        <is>
          <t>19/12/24 12:50pm</t>
        </is>
      </c>
      <c r="N62" s="30" t="inlineStr">
        <is>
          <t>19/12/24 4:50pm</t>
        </is>
      </c>
      <c r="O62" s="30" t="inlineStr">
        <is>
          <t>202</t>
        </is>
      </c>
    </row>
    <row r="63">
      <c r="A63" s="30" t="n">
        <v>5</v>
      </c>
      <c r="B63" s="30" t="n">
        <v>59</v>
      </c>
      <c r="C63" s="30" t="inlineStr">
        <is>
          <t>Aditya / Ranjana</t>
        </is>
      </c>
      <c r="D63" s="30" t="inlineStr">
        <is>
          <t>20 / 18</t>
        </is>
      </c>
      <c r="E63" s="30" t="inlineStr">
        <is>
          <t>Friend</t>
        </is>
      </c>
      <c r="F63" s="30" t="inlineStr">
        <is>
          <t>Indian (ID 870173978032)</t>
        </is>
      </c>
      <c r="G63" s="30" t="n">
        <v>2</v>
      </c>
      <c r="H63" s="30" t="inlineStr">
        <is>
          <t>Awas Vikas-86</t>
        </is>
      </c>
      <c r="I63" s="31" t="inlineStr">
        <is>
          <t>VERIFY 8115705855 (first digit 8/0 unclear)</t>
        </is>
      </c>
      <c r="J63" s="30" t="inlineStr">
        <is>
          <t>Kanpur</t>
        </is>
      </c>
      <c r="K63" s="30" t="inlineStr">
        <is>
          <t>Kanpur</t>
        </is>
      </c>
      <c r="L63" s="30" t="inlineStr">
        <is>
          <t>Visit</t>
        </is>
      </c>
      <c r="M63" s="30" t="inlineStr">
        <is>
          <t>21/12/24 12:15pm</t>
        </is>
      </c>
      <c r="N63" s="30" t="n"/>
      <c r="O63" s="30" t="n"/>
    </row>
    <row r="64">
      <c r="A64" s="30" t="n">
        <v>5</v>
      </c>
      <c r="B64" s="30" t="n">
        <v>60</v>
      </c>
      <c r="C64" s="30" t="inlineStr">
        <is>
          <t>Pawan / Susma</t>
        </is>
      </c>
      <c r="D64" s="30" t="inlineStr">
        <is>
          <t>22 / 20</t>
        </is>
      </c>
      <c r="E64" s="30" t="inlineStr">
        <is>
          <t>Friend</t>
        </is>
      </c>
      <c r="F64" s="30" t="inlineStr">
        <is>
          <t>Indian (IDs 803640462463, 834702701620)</t>
        </is>
      </c>
      <c r="G64" s="30" t="n">
        <v>2</v>
      </c>
      <c r="H64" s="30" t="inlineStr">
        <is>
          <t>Hemant Vihar Barra 2 Kanpur</t>
        </is>
      </c>
      <c r="I64" s="30" t="inlineStr">
        <is>
          <t>7368795618</t>
        </is>
      </c>
      <c r="J64" s="30" t="inlineStr">
        <is>
          <t>Kanpur</t>
        </is>
      </c>
      <c r="K64" s="30" t="inlineStr">
        <is>
          <t>Kanpur</t>
        </is>
      </c>
      <c r="L64" s="30" t="inlineStr">
        <is>
          <t>Visit</t>
        </is>
      </c>
      <c r="M64" s="30" t="inlineStr">
        <is>
          <t>22/12/24 12:15pm</t>
        </is>
      </c>
      <c r="N64" s="30" t="inlineStr">
        <is>
          <t>22/12/24 3:15pm</t>
        </is>
      </c>
      <c r="O64" s="30" t="inlineStr">
        <is>
          <t>201</t>
        </is>
      </c>
    </row>
    <row r="65">
      <c r="A65" s="30" t="n">
        <v>6</v>
      </c>
      <c r="B65" s="30" t="n">
        <v>61</v>
      </c>
      <c r="C65" s="30" t="inlineStr">
        <is>
          <t>Puja Soni / Ankit Kumar</t>
        </is>
      </c>
      <c r="D65" s="30" t="inlineStr">
        <is>
          <t>21 / 20</t>
        </is>
      </c>
      <c r="E65" s="30" t="inlineStr">
        <is>
          <t>Friend</t>
        </is>
      </c>
      <c r="F65" s="30" t="inlineStr">
        <is>
          <t>Indian (IDs 353041501274, 26150413921)</t>
        </is>
      </c>
      <c r="G65" s="30" t="n">
        <v>2</v>
      </c>
      <c r="H65" s="30" t="inlineStr">
        <is>
          <t>Parsauli, Kathangar, Kanpur UP</t>
        </is>
      </c>
      <c r="I65" s="31" t="inlineStr">
        <is>
          <t>VERIFY 6308668090</t>
        </is>
      </c>
      <c r="J65" s="30" t="inlineStr">
        <is>
          <t>Kanpur</t>
        </is>
      </c>
      <c r="K65" s="30" t="inlineStr">
        <is>
          <t>Kanpur</t>
        </is>
      </c>
      <c r="L65" s="30" t="inlineStr">
        <is>
          <t>Visit</t>
        </is>
      </c>
      <c r="M65" s="30" t="inlineStr">
        <is>
          <t>22/12/24 1:13pm</t>
        </is>
      </c>
      <c r="N65" s="30" t="inlineStr">
        <is>
          <t>22/12/24 3:40pm</t>
        </is>
      </c>
      <c r="O65" s="30" t="inlineStr">
        <is>
          <t>203</t>
        </is>
      </c>
    </row>
    <row r="66">
      <c r="A66" s="30" t="n">
        <v>6</v>
      </c>
      <c r="B66" s="30" t="n">
        <v>62</v>
      </c>
      <c r="C66" s="30" t="inlineStr">
        <is>
          <t>Deepu Sonkar / Payal Yadav</t>
        </is>
      </c>
      <c r="D66" s="30" t="inlineStr">
        <is>
          <t>21 / 22</t>
        </is>
      </c>
      <c r="E66" s="30" t="inlineStr">
        <is>
          <t>Friend</t>
        </is>
      </c>
      <c r="F66" s="30" t="inlineStr">
        <is>
          <t>India (IDs 233818637967, 820193893644)</t>
        </is>
      </c>
      <c r="G66" s="30" t="n">
        <v>2</v>
      </c>
      <c r="H66" s="30" t="inlineStr">
        <is>
          <t>Barra-2, Kanpur</t>
        </is>
      </c>
      <c r="I66" s="30" t="inlineStr">
        <is>
          <t>6394010145</t>
        </is>
      </c>
      <c r="J66" s="30" t="inlineStr">
        <is>
          <t>Kanpur</t>
        </is>
      </c>
      <c r="K66" s="30" t="inlineStr">
        <is>
          <t>Kanpur</t>
        </is>
      </c>
      <c r="L66" s="30" t="inlineStr">
        <is>
          <t>Visit</t>
        </is>
      </c>
      <c r="M66" s="30" t="inlineStr">
        <is>
          <t>22/12/24 1:02pm</t>
        </is>
      </c>
      <c r="N66" s="30" t="inlineStr">
        <is>
          <t>22/12/24 6:36pm</t>
        </is>
      </c>
      <c r="O66" s="30" t="inlineStr">
        <is>
          <t>204</t>
        </is>
      </c>
    </row>
    <row r="67">
      <c r="A67" s="30" t="n">
        <v>6</v>
      </c>
      <c r="B67" s="30" t="n">
        <v>63</v>
      </c>
      <c r="C67" s="30" t="inlineStr">
        <is>
          <t>Shivam Kumar / Sneha Pal</t>
        </is>
      </c>
      <c r="D67" s="30" t="inlineStr">
        <is>
          <t>21 / 20</t>
        </is>
      </c>
      <c r="E67" s="30" t="inlineStr">
        <is>
          <t>Friend</t>
        </is>
      </c>
      <c r="F67" s="30" t="inlineStr">
        <is>
          <t>Indian (IDs 810040755824, 610963233180)</t>
        </is>
      </c>
      <c r="G67" s="30" t="n">
        <v>2</v>
      </c>
      <c r="H67" s="30" t="inlineStr">
        <is>
          <t>Chami Buzurg, Hamirpur UP</t>
        </is>
      </c>
      <c r="I67" s="30" t="inlineStr">
        <is>
          <t>6392813154</t>
        </is>
      </c>
      <c r="J67" s="30" t="inlineStr">
        <is>
          <t>Kanpur</t>
        </is>
      </c>
      <c r="K67" s="30" t="inlineStr">
        <is>
          <t>Kanpur</t>
        </is>
      </c>
      <c r="L67" s="30" t="inlineStr">
        <is>
          <t>Visit</t>
        </is>
      </c>
      <c r="M67" s="30" t="inlineStr">
        <is>
          <t>23/12/24 3:52pm</t>
        </is>
      </c>
      <c r="N67" s="30" t="inlineStr">
        <is>
          <t>23/12/24 6:22pm</t>
        </is>
      </c>
      <c r="O67" s="30" t="inlineStr">
        <is>
          <t>201</t>
        </is>
      </c>
    </row>
    <row r="68">
      <c r="A68" s="30" t="n">
        <v>6</v>
      </c>
      <c r="B68" s="30" t="n">
        <v>64</v>
      </c>
      <c r="C68" s="30" t="inlineStr">
        <is>
          <t>Shiva Singh Yadav / Sheelam</t>
        </is>
      </c>
      <c r="D68" s="30" t="inlineStr">
        <is>
          <t>25</t>
        </is>
      </c>
      <c r="E68" s="30" t="inlineStr">
        <is>
          <t>Friend</t>
        </is>
      </c>
      <c r="F68" s="30" t="inlineStr">
        <is>
          <t>Indian (ID 801463839103)</t>
        </is>
      </c>
      <c r="G68" s="30" t="n">
        <v>2</v>
      </c>
      <c r="H68" s="30" t="inlineStr">
        <is>
          <t>Meharban Singh Ka Purwa</t>
        </is>
      </c>
      <c r="I68" s="30" t="n"/>
      <c r="J68" s="30" t="inlineStr">
        <is>
          <t>Kanpur</t>
        </is>
      </c>
      <c r="K68" s="30" t="inlineStr">
        <is>
          <t>Kanpur</t>
        </is>
      </c>
      <c r="L68" s="30" t="inlineStr">
        <is>
          <t>Visit</t>
        </is>
      </c>
      <c r="M68" s="30" t="inlineStr">
        <is>
          <t>23/12/24 7:35pm</t>
        </is>
      </c>
      <c r="N68" s="30" t="inlineStr">
        <is>
          <t>24/12/24 8:00am</t>
        </is>
      </c>
      <c r="O68" s="30" t="inlineStr">
        <is>
          <t>206</t>
        </is>
      </c>
    </row>
    <row r="69">
      <c r="A69" s="30" t="n">
        <v>6</v>
      </c>
      <c r="B69" s="30" t="n">
        <v>65</v>
      </c>
      <c r="C69" s="30" t="inlineStr">
        <is>
          <t>Sandeep Gupta / Saloni Rathod</t>
        </is>
      </c>
      <c r="D69" s="30" t="inlineStr">
        <is>
          <t>20 / 21</t>
        </is>
      </c>
      <c r="E69" s="30" t="inlineStr">
        <is>
          <t>Friend</t>
        </is>
      </c>
      <c r="F69" s="30" t="inlineStr">
        <is>
          <t>Indian (IDs 858598889385, 438672829438)</t>
        </is>
      </c>
      <c r="G69" s="30" t="n">
        <v>2</v>
      </c>
      <c r="H69" s="30" t="inlineStr">
        <is>
          <t>358 Rana Pratap Nagar, KP University</t>
        </is>
      </c>
      <c r="I69" s="30" t="inlineStr">
        <is>
          <t>8957011856</t>
        </is>
      </c>
      <c r="J69" s="30" t="inlineStr">
        <is>
          <t>Kanpur</t>
        </is>
      </c>
      <c r="K69" s="30" t="inlineStr">
        <is>
          <t>Kanpur</t>
        </is>
      </c>
      <c r="L69" s="30" t="inlineStr">
        <is>
          <t>Visit</t>
        </is>
      </c>
      <c r="M69" s="30" t="inlineStr">
        <is>
          <t>24/12/24 11:35am</t>
        </is>
      </c>
      <c r="N69" s="30" t="inlineStr">
        <is>
          <t>24/12/24 4:05pm</t>
        </is>
      </c>
      <c r="O69" s="30" t="inlineStr">
        <is>
          <t>201</t>
        </is>
      </c>
    </row>
    <row r="70">
      <c r="A70" s="30" t="n">
        <v>6</v>
      </c>
      <c r="B70" s="30" t="n">
        <v>66</v>
      </c>
      <c r="C70" s="30" t="inlineStr">
        <is>
          <t>Shivam Kumar / Sneha Pal</t>
        </is>
      </c>
      <c r="D70" s="30" t="inlineStr">
        <is>
          <t>21 / 20</t>
        </is>
      </c>
      <c r="E70" s="30" t="inlineStr">
        <is>
          <t>Friend</t>
        </is>
      </c>
      <c r="F70" s="30" t="inlineStr">
        <is>
          <t>Indian (IDs 810040755824, 610963233180)</t>
        </is>
      </c>
      <c r="G70" s="30" t="n">
        <v>2</v>
      </c>
      <c r="H70" s="30" t="inlineStr">
        <is>
          <t>Chami Buzurg, Hamirpur UP</t>
        </is>
      </c>
      <c r="I70" s="30" t="inlineStr">
        <is>
          <t>6392813154</t>
        </is>
      </c>
      <c r="J70" s="30" t="inlineStr">
        <is>
          <t>Kanpur</t>
        </is>
      </c>
      <c r="K70" s="30" t="inlineStr">
        <is>
          <t>Kanpur</t>
        </is>
      </c>
      <c r="L70" s="30" t="inlineStr">
        <is>
          <t>Visit</t>
        </is>
      </c>
      <c r="M70" s="30" t="inlineStr">
        <is>
          <t>25/12/24 6:25pm</t>
        </is>
      </c>
      <c r="N70" s="30" t="inlineStr">
        <is>
          <t>25/12/24 8:40pm</t>
        </is>
      </c>
      <c r="O70" s="30" t="inlineStr">
        <is>
          <t>205</t>
        </is>
      </c>
    </row>
    <row r="71">
      <c r="A71" s="30" t="n">
        <v>6</v>
      </c>
      <c r="B71" s="30" t="n">
        <v>67</v>
      </c>
      <c r="C71" s="30" t="inlineStr">
        <is>
          <t>Santosh Diwakar / Jyoti</t>
        </is>
      </c>
      <c r="D71" s="30" t="inlineStr">
        <is>
          <t>24 / 24</t>
        </is>
      </c>
      <c r="E71" s="30" t="inlineStr">
        <is>
          <t>Friend</t>
        </is>
      </c>
      <c r="F71" s="30" t="inlineStr">
        <is>
          <t>Indian (IDs 442301316113, 476830470187)</t>
        </is>
      </c>
      <c r="G71" s="30" t="n">
        <v>2</v>
      </c>
      <c r="H71" s="30" t="inlineStr">
        <is>
          <t>Juhi Colony Kanpur</t>
        </is>
      </c>
      <c r="I71" s="30" t="inlineStr">
        <is>
          <t>8858377320</t>
        </is>
      </c>
      <c r="J71" s="30" t="inlineStr">
        <is>
          <t>Kanpur</t>
        </is>
      </c>
      <c r="K71" s="30" t="inlineStr">
        <is>
          <t>Kanpur</t>
        </is>
      </c>
      <c r="L71" s="30" t="inlineStr">
        <is>
          <t>Visit</t>
        </is>
      </c>
      <c r="M71" s="30" t="inlineStr">
        <is>
          <t>25/12/24 8:10pm</t>
        </is>
      </c>
      <c r="N71" s="30" t="inlineStr">
        <is>
          <t>25/12/24 9:05pm</t>
        </is>
      </c>
      <c r="O71" s="30" t="inlineStr">
        <is>
          <t>203</t>
        </is>
      </c>
    </row>
    <row r="72">
      <c r="A72" s="30" t="n">
        <v>6</v>
      </c>
      <c r="B72" s="30" t="n">
        <v>68</v>
      </c>
      <c r="C72" s="30" t="inlineStr">
        <is>
          <t>Himanshu / Nikki</t>
        </is>
      </c>
      <c r="D72" s="30" t="inlineStr">
        <is>
          <t>18 / 20</t>
        </is>
      </c>
      <c r="E72" s="30" t="inlineStr">
        <is>
          <t>Friend</t>
        </is>
      </c>
      <c r="F72" s="30" t="inlineStr">
        <is>
          <t>India (ID 691078236787)</t>
        </is>
      </c>
      <c r="G72" s="30" t="n">
        <v>2</v>
      </c>
      <c r="H72" s="30" t="inlineStr">
        <is>
          <t>Ram Singh Purwa</t>
        </is>
      </c>
      <c r="I72" s="30" t="inlineStr">
        <is>
          <t>7054004283</t>
        </is>
      </c>
      <c r="J72" s="30" t="inlineStr">
        <is>
          <t>Kanpur</t>
        </is>
      </c>
      <c r="K72" s="30" t="inlineStr">
        <is>
          <t>Kanpur</t>
        </is>
      </c>
      <c r="L72" s="30" t="inlineStr">
        <is>
          <t>Visit</t>
        </is>
      </c>
      <c r="M72" s="30" t="inlineStr">
        <is>
          <t>26/12/24 9:30am</t>
        </is>
      </c>
      <c r="N72" s="30" t="inlineStr">
        <is>
          <t>26/12/24 4:26pm</t>
        </is>
      </c>
      <c r="O72" s="30" t="inlineStr">
        <is>
          <t>205</t>
        </is>
      </c>
    </row>
    <row r="73">
      <c r="A73" s="30" t="n">
        <v>6</v>
      </c>
      <c r="B73" s="30" t="n">
        <v>69</v>
      </c>
      <c r="C73" s="30" t="inlineStr">
        <is>
          <t>Gulafsha Bano / Mithun</t>
        </is>
      </c>
      <c r="D73" s="30" t="inlineStr">
        <is>
          <t>20 / 19</t>
        </is>
      </c>
      <c r="E73" s="30" t="inlineStr">
        <is>
          <t>Friend</t>
        </is>
      </c>
      <c r="F73" s="30" t="inlineStr">
        <is>
          <t>India (IDs 950714446898, 843981561232)</t>
        </is>
      </c>
      <c r="G73" s="30" t="n">
        <v>2</v>
      </c>
      <c r="H73" s="30" t="inlineStr">
        <is>
          <t>131/26 Begum Purwa TP Nagar Kanpur / Binaur Sachendi Bhagwantpur Kanpur</t>
        </is>
      </c>
      <c r="I73" s="30" t="inlineStr">
        <is>
          <t>6387035658</t>
        </is>
      </c>
      <c r="J73" s="30" t="inlineStr">
        <is>
          <t>Kanpur</t>
        </is>
      </c>
      <c r="K73" s="30" t="inlineStr">
        <is>
          <t>Kanpur</t>
        </is>
      </c>
      <c r="L73" s="30" t="inlineStr">
        <is>
          <t>Visit</t>
        </is>
      </c>
      <c r="M73" s="30" t="inlineStr">
        <is>
          <t>26/12/24 10:40am</t>
        </is>
      </c>
      <c r="N73" s="30" t="inlineStr">
        <is>
          <t>26/12/24 3:06pm</t>
        </is>
      </c>
      <c r="O73" s="30" t="inlineStr">
        <is>
          <t>204</t>
        </is>
      </c>
    </row>
    <row r="74">
      <c r="A74" s="30" t="n">
        <v>6</v>
      </c>
      <c r="B74" s="30" t="n">
        <v>70</v>
      </c>
      <c r="C74" s="30" t="inlineStr">
        <is>
          <t>Shweta Pathak / Aman Sharma</t>
        </is>
      </c>
      <c r="D74" s="30" t="inlineStr">
        <is>
          <t>19 / 17</t>
        </is>
      </c>
      <c r="E74" s="30" t="inlineStr">
        <is>
          <t>Friend</t>
        </is>
      </c>
      <c r="F74" s="30" t="inlineStr">
        <is>
          <t>India (IDs 652812493620, 510544381798)</t>
        </is>
      </c>
      <c r="G74" s="30" t="n">
        <v>2</v>
      </c>
      <c r="H74" s="30" t="inlineStr">
        <is>
          <t>267/2 Rail Bazar, Kanpur Cantt</t>
        </is>
      </c>
      <c r="I74" s="30" t="inlineStr">
        <is>
          <t>9451930495</t>
        </is>
      </c>
      <c r="J74" s="30" t="inlineStr">
        <is>
          <t>Kanpur</t>
        </is>
      </c>
      <c r="K74" s="30" t="inlineStr">
        <is>
          <t>Kanpur</t>
        </is>
      </c>
      <c r="L74" s="30" t="inlineStr">
        <is>
          <t>Visit</t>
        </is>
      </c>
      <c r="M74" s="30" t="inlineStr">
        <is>
          <t>26/12/24 12:12pm</t>
        </is>
      </c>
      <c r="N74" s="30" t="inlineStr">
        <is>
          <t>26/12/24 2:32pm</t>
        </is>
      </c>
      <c r="O74" s="30" t="inlineStr">
        <is>
          <t>201</t>
        </is>
      </c>
    </row>
    <row r="75">
      <c r="A75" s="30" t="n">
        <v>6</v>
      </c>
      <c r="B75" s="30" t="n">
        <v>71</v>
      </c>
      <c r="C75" s="30" t="inlineStr">
        <is>
          <t>Naitik Sharma / Arti Prajapati</t>
        </is>
      </c>
      <c r="D75" s="30" t="inlineStr">
        <is>
          <t>23 / 20</t>
        </is>
      </c>
      <c r="E75" s="30" t="inlineStr">
        <is>
          <t>Friend</t>
        </is>
      </c>
      <c r="F75" s="30" t="inlineStr">
        <is>
          <t>Indian (IDs 426777347831, 450367271649)</t>
        </is>
      </c>
      <c r="G75" s="30" t="n">
        <v>2</v>
      </c>
      <c r="H75" s="30" t="inlineStr">
        <is>
          <t>175/2 Sanjay Gandhi Nagar</t>
        </is>
      </c>
      <c r="I75" s="31" t="inlineStr">
        <is>
          <t>VERIFY 8429360708 (8th digit 7/9 unclear)</t>
        </is>
      </c>
      <c r="J75" s="30" t="inlineStr">
        <is>
          <t>Kanpur</t>
        </is>
      </c>
      <c r="K75" s="30" t="inlineStr">
        <is>
          <t>Kanpur</t>
        </is>
      </c>
      <c r="L75" s="30" t="inlineStr">
        <is>
          <t>Visit</t>
        </is>
      </c>
      <c r="M75" s="30" t="inlineStr">
        <is>
          <t>26/12/24</t>
        </is>
      </c>
      <c r="N75" s="30" t="inlineStr">
        <is>
          <t>26/12/24 6:44pm</t>
        </is>
      </c>
      <c r="O75" s="30" t="inlineStr">
        <is>
          <t>203</t>
        </is>
      </c>
    </row>
    <row r="76">
      <c r="A76" s="30" t="n">
        <v>6</v>
      </c>
      <c r="B76" s="30" t="n">
        <v>72</v>
      </c>
      <c r="C76" s="30" t="inlineStr">
        <is>
          <t>Shitanshu / Akhya Gupta</t>
        </is>
      </c>
      <c r="D76" s="30" t="inlineStr">
        <is>
          <t>22 / 27</t>
        </is>
      </c>
      <c r="E76" s="30" t="inlineStr">
        <is>
          <t>Family</t>
        </is>
      </c>
      <c r="F76" s="30" t="inlineStr">
        <is>
          <t>Indian (IDs 978605928803, 515562096343)</t>
        </is>
      </c>
      <c r="G76" s="30" t="n">
        <v>2</v>
      </c>
      <c r="H76" s="30" t="inlineStr">
        <is>
          <t>Dari Kheda / Kanpur</t>
        </is>
      </c>
      <c r="I76" s="30" t="inlineStr">
        <is>
          <t>7317651956</t>
        </is>
      </c>
      <c r="J76" s="30" t="inlineStr">
        <is>
          <t>Kanpur</t>
        </is>
      </c>
      <c r="K76" s="30" t="inlineStr">
        <is>
          <t>Kanpur</t>
        </is>
      </c>
      <c r="L76" s="30" t="inlineStr">
        <is>
          <t>Visit</t>
        </is>
      </c>
      <c r="M76" s="30" t="inlineStr">
        <is>
          <t>27/12/24 12:05pm</t>
        </is>
      </c>
      <c r="N76" s="30" t="inlineStr">
        <is>
          <t>27/12/24 2:48pm</t>
        </is>
      </c>
      <c r="O76" s="30" t="inlineStr">
        <is>
          <t>205</t>
        </is>
      </c>
    </row>
    <row r="77">
      <c r="A77" s="30" t="n">
        <v>7</v>
      </c>
      <c r="B77" s="30" t="n">
        <v>73</v>
      </c>
      <c r="C77" s="30" t="inlineStr">
        <is>
          <t>Ram Prakash / Puja Singh</t>
        </is>
      </c>
      <c r="D77" s="30" t="inlineStr">
        <is>
          <t>- / 28</t>
        </is>
      </c>
      <c r="E77" s="30" t="inlineStr">
        <is>
          <t>Friend</t>
        </is>
      </c>
      <c r="F77" s="30" t="inlineStr">
        <is>
          <t>Indian</t>
        </is>
      </c>
      <c r="G77" s="30" t="n">
        <v>2</v>
      </c>
      <c r="H77" s="30" t="inlineStr">
        <is>
          <t>Dada Nagar Kanpur</t>
        </is>
      </c>
      <c r="I77" s="30" t="inlineStr">
        <is>
          <t>9984182961</t>
        </is>
      </c>
      <c r="J77" s="30" t="inlineStr">
        <is>
          <t>Kanpur</t>
        </is>
      </c>
      <c r="K77" s="30" t="inlineStr">
        <is>
          <t>Kanpur</t>
        </is>
      </c>
      <c r="L77" s="30" t="inlineStr">
        <is>
          <t>Visit</t>
        </is>
      </c>
      <c r="M77" s="30" t="inlineStr">
        <is>
          <t>27/12/24 3:58pm</t>
        </is>
      </c>
      <c r="N77" s="30" t="inlineStr">
        <is>
          <t>27/12/24 6:54pm</t>
        </is>
      </c>
      <c r="O77" s="30" t="inlineStr">
        <is>
          <t>205</t>
        </is>
      </c>
    </row>
    <row r="78">
      <c r="A78" s="30" t="n">
        <v>7</v>
      </c>
      <c r="B78" s="30" t="n">
        <v>74</v>
      </c>
      <c r="C78" s="30" t="inlineStr">
        <is>
          <t>Aman Verma</t>
        </is>
      </c>
      <c r="D78" s="30" t="inlineStr">
        <is>
          <t>22</t>
        </is>
      </c>
      <c r="E78" s="30" t="inlineStr">
        <is>
          <t>Friend</t>
        </is>
      </c>
      <c r="F78" s="30" t="inlineStr">
        <is>
          <t>Indian</t>
        </is>
      </c>
      <c r="G78" s="30" t="n">
        <v>2</v>
      </c>
      <c r="H78" s="30" t="inlineStr">
        <is>
          <t>-</t>
        </is>
      </c>
      <c r="I78" s="30" t="inlineStr">
        <is>
          <t>6394658814</t>
        </is>
      </c>
      <c r="J78" s="30" t="inlineStr">
        <is>
          <t>Kanpur</t>
        </is>
      </c>
      <c r="K78" s="30" t="inlineStr">
        <is>
          <t>Kanpur</t>
        </is>
      </c>
      <c r="L78" s="30" t="inlineStr">
        <is>
          <t>Visit</t>
        </is>
      </c>
      <c r="M78" s="30" t="inlineStr">
        <is>
          <t>28/12/24 3:06pm</t>
        </is>
      </c>
      <c r="N78" s="30" t="inlineStr">
        <is>
          <t>28/12/24</t>
        </is>
      </c>
      <c r="O78" s="30" t="inlineStr">
        <is>
          <t>205</t>
        </is>
      </c>
    </row>
    <row r="79">
      <c r="A79" s="30" t="n">
        <v>7</v>
      </c>
      <c r="B79" s="30" t="n">
        <v>75</v>
      </c>
      <c r="C79" s="31" t="inlineStr">
        <is>
          <t>VERIFY (names unclear)</t>
        </is>
      </c>
      <c r="D79" s="30" t="inlineStr">
        <is>
          <t>30 / 25</t>
        </is>
      </c>
      <c r="E79" s="30" t="inlineStr">
        <is>
          <t>Family</t>
        </is>
      </c>
      <c r="F79" s="30" t="inlineStr">
        <is>
          <t>Indian (ID 6658050058421 struck)</t>
        </is>
      </c>
      <c r="G79" s="30" t="n">
        <v>2</v>
      </c>
      <c r="H79" s="30" t="inlineStr">
        <is>
          <t>Barra-2</t>
        </is>
      </c>
      <c r="I79" s="30" t="n"/>
      <c r="J79" s="30" t="inlineStr">
        <is>
          <t>Kanpur</t>
        </is>
      </c>
      <c r="K79" s="30" t="inlineStr">
        <is>
          <t>Kanpur</t>
        </is>
      </c>
      <c r="L79" s="30" t="inlineStr">
        <is>
          <t>Visit</t>
        </is>
      </c>
      <c r="M79" s="30" t="inlineStr">
        <is>
          <t>29/12/24</t>
        </is>
      </c>
      <c r="N79" s="30" t="inlineStr">
        <is>
          <t>29/12/24</t>
        </is>
      </c>
      <c r="O79" s="30" t="inlineStr">
        <is>
          <t>203</t>
        </is>
      </c>
    </row>
    <row r="80">
      <c r="A80" s="30" t="n">
        <v>7</v>
      </c>
      <c r="B80" s="30" t="n">
        <v>76</v>
      </c>
      <c r="C80" s="30" t="inlineStr">
        <is>
          <t>Mithun / Gulafsha</t>
        </is>
      </c>
      <c r="D80" s="30" t="inlineStr">
        <is>
          <t>20 / 20</t>
        </is>
      </c>
      <c r="E80" s="30" t="inlineStr">
        <is>
          <t>Friend</t>
        </is>
      </c>
      <c r="F80" s="30" t="inlineStr">
        <is>
          <t>Indian (IDs 950714446898, 843981561227)</t>
        </is>
      </c>
      <c r="G80" s="30" t="n">
        <v>2</v>
      </c>
      <c r="H80" s="30" t="inlineStr">
        <is>
          <t>Begum Purwa Kanpur / Sachendi Kanpur</t>
        </is>
      </c>
      <c r="I80" s="31" t="inlineStr">
        <is>
          <t>VERIFY 7807958257 / 7398067230</t>
        </is>
      </c>
      <c r="J80" s="30" t="inlineStr">
        <is>
          <t>Kanpur</t>
        </is>
      </c>
      <c r="K80" s="30" t="inlineStr">
        <is>
          <t>Kanpur</t>
        </is>
      </c>
      <c r="L80" s="30" t="inlineStr">
        <is>
          <t>Visit</t>
        </is>
      </c>
      <c r="M80" s="30" t="inlineStr">
        <is>
          <t>29/12/24</t>
        </is>
      </c>
      <c r="N80" s="30" t="inlineStr">
        <is>
          <t>29/12/24</t>
        </is>
      </c>
      <c r="O80" s="30" t="inlineStr">
        <is>
          <t>205 / 204</t>
        </is>
      </c>
    </row>
    <row r="81">
      <c r="A81" s="30" t="n">
        <v>7</v>
      </c>
      <c r="B81" s="30" t="n">
        <v>77</v>
      </c>
      <c r="C81" s="30" t="inlineStr">
        <is>
          <t>Anand / Tanu Kumari (Hindi)</t>
        </is>
      </c>
      <c r="D81" s="30" t="inlineStr">
        <is>
          <t>21 / 22</t>
        </is>
      </c>
      <c r="E81" s="30" t="inlineStr">
        <is>
          <t>Friend</t>
        </is>
      </c>
      <c r="F81" s="30" t="inlineStr">
        <is>
          <t>Indian (ID 681547816485)</t>
        </is>
      </c>
      <c r="G81" s="30" t="n">
        <v>2</v>
      </c>
      <c r="H81" s="30" t="inlineStr">
        <is>
          <t>Kaindha, Patara, Kanpur Nagar</t>
        </is>
      </c>
      <c r="I81" s="30" t="inlineStr">
        <is>
          <t>7897617417</t>
        </is>
      </c>
      <c r="J81" s="30" t="inlineStr">
        <is>
          <t>Kanpur</t>
        </is>
      </c>
      <c r="K81" s="30" t="inlineStr">
        <is>
          <t>Kanpur</t>
        </is>
      </c>
      <c r="L81" s="30" t="inlineStr">
        <is>
          <t>Visit</t>
        </is>
      </c>
      <c r="M81" s="30" t="inlineStr">
        <is>
          <t>30/12/24 11:02am</t>
        </is>
      </c>
      <c r="N81" s="30" t="inlineStr">
        <is>
          <t>30/12/24 4:38pm</t>
        </is>
      </c>
      <c r="O81" s="30" t="inlineStr">
        <is>
          <t>206</t>
        </is>
      </c>
    </row>
    <row r="82">
      <c r="A82" s="30" t="n">
        <v>7</v>
      </c>
      <c r="B82" s="30" t="n">
        <v>78</v>
      </c>
      <c r="C82" s="30" t="inlineStr">
        <is>
          <t>Gaurav Singh / Neha Singh</t>
        </is>
      </c>
      <c r="D82" s="30" t="inlineStr">
        <is>
          <t>25 / 24</t>
        </is>
      </c>
      <c r="E82" s="30" t="inlineStr">
        <is>
          <t>Friend</t>
        </is>
      </c>
      <c r="F82" s="30" t="inlineStr">
        <is>
          <t>India (ID 962655474362)</t>
        </is>
      </c>
      <c r="G82" s="30" t="n">
        <v>2</v>
      </c>
      <c r="H82" s="30" t="inlineStr">
        <is>
          <t>K.R Palace Kanpur</t>
        </is>
      </c>
      <c r="I82" s="30" t="inlineStr">
        <is>
          <t>8052481945</t>
        </is>
      </c>
      <c r="J82" s="30" t="inlineStr">
        <is>
          <t>Kanpur</t>
        </is>
      </c>
      <c r="K82" s="30" t="inlineStr">
        <is>
          <t>Kanpur</t>
        </is>
      </c>
      <c r="L82" s="30" t="inlineStr">
        <is>
          <t>Visit</t>
        </is>
      </c>
      <c r="M82" s="30" t="inlineStr">
        <is>
          <t>30/12/24 1:40pm</t>
        </is>
      </c>
      <c r="N82" s="30" t="inlineStr">
        <is>
          <t>30/12/24 2:28pm</t>
        </is>
      </c>
      <c r="O82" s="30" t="inlineStr">
        <is>
          <t>204</t>
        </is>
      </c>
    </row>
    <row r="83">
      <c r="A83" s="30" t="n">
        <v>7</v>
      </c>
      <c r="B83" s="30" t="n">
        <v>79</v>
      </c>
      <c r="C83" s="30" t="inlineStr">
        <is>
          <t>Shailendra Singh / Abhilasha</t>
        </is>
      </c>
      <c r="D83" s="30" t="inlineStr">
        <is>
          <t>21 / 20</t>
        </is>
      </c>
      <c r="E83" s="30" t="inlineStr">
        <is>
          <t>Family</t>
        </is>
      </c>
      <c r="F83" s="30" t="inlineStr">
        <is>
          <t>India (IDs 692621043032, 750548360705)</t>
        </is>
      </c>
      <c r="G83" s="30" t="n">
        <v>2</v>
      </c>
      <c r="H83" s="30" t="inlineStr">
        <is>
          <t>Naubasta / Naubasta</t>
        </is>
      </c>
      <c r="I83" s="31" t="inlineStr">
        <is>
          <t>VERIFY 7905800319 / 7275261481</t>
        </is>
      </c>
      <c r="J83" s="30" t="inlineStr">
        <is>
          <t>Kanpur</t>
        </is>
      </c>
      <c r="K83" s="30" t="inlineStr">
        <is>
          <t>Kanpur</t>
        </is>
      </c>
      <c r="L83" s="30" t="inlineStr">
        <is>
          <t>Visit</t>
        </is>
      </c>
      <c r="M83" s="30" t="inlineStr">
        <is>
          <t>31/12/24</t>
        </is>
      </c>
      <c r="N83" s="30" t="n"/>
      <c r="O83" s="31" t="inlineStr">
        <is>
          <t>VERIFY 204</t>
        </is>
      </c>
    </row>
    <row r="84">
      <c r="A84" s="30" t="n">
        <v>7</v>
      </c>
      <c r="B84" s="30" t="n">
        <v>80</v>
      </c>
      <c r="C84" s="30" t="inlineStr">
        <is>
          <t>Ashish Pal / Sonam Pal</t>
        </is>
      </c>
      <c r="D84" s="30" t="inlineStr">
        <is>
          <t>20 / 20</t>
        </is>
      </c>
      <c r="E84" s="30" t="inlineStr">
        <is>
          <t>Family</t>
        </is>
      </c>
      <c r="F84" s="30" t="inlineStr">
        <is>
          <t>India (IDs 641173220827, 510927029904)</t>
        </is>
      </c>
      <c r="G84" s="30" t="n">
        <v>2</v>
      </c>
      <c r="H84" s="30" t="inlineStr">
        <is>
          <t>Karrahi / Akbarpur</t>
        </is>
      </c>
      <c r="I84" s="31" t="inlineStr">
        <is>
          <t>VERIFY 7318168897</t>
        </is>
      </c>
      <c r="J84" s="30" t="inlineStr">
        <is>
          <t>Kanpur</t>
        </is>
      </c>
      <c r="K84" s="30" t="inlineStr">
        <is>
          <t>Kanpur</t>
        </is>
      </c>
      <c r="L84" s="30" t="inlineStr">
        <is>
          <t>Visit</t>
        </is>
      </c>
      <c r="M84" s="30" t="inlineStr">
        <is>
          <t>31/12/24 12:00pm</t>
        </is>
      </c>
      <c r="N84" s="30" t="n"/>
      <c r="O84" s="30" t="inlineStr">
        <is>
          <t>203</t>
        </is>
      </c>
    </row>
    <row r="85">
      <c r="A85" s="30" t="n">
        <v>7</v>
      </c>
      <c r="B85" s="30" t="n">
        <v>81</v>
      </c>
      <c r="C85" s="30" t="inlineStr">
        <is>
          <t>Ram Prakash / Puja Singh</t>
        </is>
      </c>
      <c r="D85" s="30" t="inlineStr">
        <is>
          <t>- / 28</t>
        </is>
      </c>
      <c r="E85" s="30" t="inlineStr">
        <is>
          <t>Friend</t>
        </is>
      </c>
      <c r="F85" s="30" t="inlineStr">
        <is>
          <t>India</t>
        </is>
      </c>
      <c r="G85" s="30" t="n">
        <v>2</v>
      </c>
      <c r="H85" s="30" t="inlineStr">
        <is>
          <t>Dada Nagar</t>
        </is>
      </c>
      <c r="I85" s="30" t="inlineStr">
        <is>
          <t>9984182961</t>
        </is>
      </c>
      <c r="J85" s="30" t="inlineStr">
        <is>
          <t>Kanpur</t>
        </is>
      </c>
      <c r="K85" s="30" t="inlineStr">
        <is>
          <t>Kanpur</t>
        </is>
      </c>
      <c r="L85" s="30" t="inlineStr">
        <is>
          <t>Visit</t>
        </is>
      </c>
      <c r="M85" s="30" t="inlineStr">
        <is>
          <t>31/12/24 12:15pm</t>
        </is>
      </c>
      <c r="N85" s="30" t="n"/>
      <c r="O85" s="30" t="n"/>
    </row>
    <row r="86">
      <c r="A86" s="30" t="n">
        <v>7</v>
      </c>
      <c r="B86" s="30" t="n">
        <v>82</v>
      </c>
      <c r="C86" s="30" t="inlineStr">
        <is>
          <t>Nitin Dixit / Inshita Mishra</t>
        </is>
      </c>
      <c r="D86" s="30" t="inlineStr">
        <is>
          <t>26 / 20</t>
        </is>
      </c>
      <c r="E86" s="30" t="inlineStr">
        <is>
          <t>Friend</t>
        </is>
      </c>
      <c r="F86" s="30" t="inlineStr">
        <is>
          <t>India (IDs 752197909772, 210402421340)</t>
        </is>
      </c>
      <c r="G86" s="30" t="n">
        <v>2</v>
      </c>
      <c r="H86" s="30" t="inlineStr">
        <is>
          <t>Dhankutti, Kanpur</t>
        </is>
      </c>
      <c r="I86" s="30" t="inlineStr">
        <is>
          <t>6391291918</t>
        </is>
      </c>
      <c r="J86" s="30" t="inlineStr">
        <is>
          <t>Kanpur</t>
        </is>
      </c>
      <c r="K86" s="30" t="inlineStr">
        <is>
          <t>Kanpur</t>
        </is>
      </c>
      <c r="L86" s="30" t="inlineStr">
        <is>
          <t>Visit</t>
        </is>
      </c>
      <c r="M86" s="30" t="inlineStr">
        <is>
          <t>1/1/25 12:49pm</t>
        </is>
      </c>
      <c r="N86" s="30" t="inlineStr">
        <is>
          <t>1/1/25 3:23pm</t>
        </is>
      </c>
      <c r="O86" s="30" t="inlineStr">
        <is>
          <t>202</t>
        </is>
      </c>
    </row>
    <row r="87">
      <c r="A87" s="30" t="n">
        <v>7</v>
      </c>
      <c r="B87" s="30" t="n">
        <v>83</v>
      </c>
      <c r="C87" s="30" t="inlineStr">
        <is>
          <t>Alok Tiwari / Aarti Savita</t>
        </is>
      </c>
      <c r="D87" s="30" t="inlineStr">
        <is>
          <t>21 / 24</t>
        </is>
      </c>
      <c r="E87" s="30" t="inlineStr">
        <is>
          <t>Friend</t>
        </is>
      </c>
      <c r="F87" s="30" t="inlineStr">
        <is>
          <t>India (IDs 869854011974, 245808476904)</t>
        </is>
      </c>
      <c r="G87" s="30" t="n">
        <v>2</v>
      </c>
      <c r="H87" s="30" t="inlineStr">
        <is>
          <t>Dabauli West / Udyog Nagar Kanpur</t>
        </is>
      </c>
      <c r="I87" s="30" t="inlineStr">
        <is>
          <t>7080956577</t>
        </is>
      </c>
      <c r="J87" s="30" t="inlineStr">
        <is>
          <t>Kanpur</t>
        </is>
      </c>
      <c r="K87" s="30" t="inlineStr">
        <is>
          <t>Kanpur</t>
        </is>
      </c>
      <c r="L87" s="30" t="inlineStr">
        <is>
          <t>Visit</t>
        </is>
      </c>
      <c r="M87" s="30" t="inlineStr">
        <is>
          <t>1/1/25 12:56pm</t>
        </is>
      </c>
      <c r="N87" s="30" t="inlineStr">
        <is>
          <t>1/1/25 4:46pm</t>
        </is>
      </c>
      <c r="O87" s="30" t="inlineStr">
        <is>
          <t>203</t>
        </is>
      </c>
    </row>
    <row r="88">
      <c r="A88" s="30" t="n">
        <v>7</v>
      </c>
      <c r="B88" s="30" t="n">
        <v>84</v>
      </c>
      <c r="C88" s="30" t="inlineStr">
        <is>
          <t>Anurag Shukla / Jyoti Verma</t>
        </is>
      </c>
      <c r="D88" s="30" t="inlineStr">
        <is>
          <t>21 / 22</t>
        </is>
      </c>
      <c r="E88" s="30" t="inlineStr">
        <is>
          <t>Friend</t>
        </is>
      </c>
      <c r="F88" s="30" t="inlineStr">
        <is>
          <t>India (IDs 210402421340, 354097839013, 692502212679)</t>
        </is>
      </c>
      <c r="G88" s="30" t="n">
        <v>2</v>
      </c>
      <c r="H88" s="30" t="inlineStr">
        <is>
          <t>C-684 World Bank Barra, Kanpur</t>
        </is>
      </c>
      <c r="I88" s="30" t="inlineStr">
        <is>
          <t>9335681236</t>
        </is>
      </c>
      <c r="J88" s="30" t="inlineStr">
        <is>
          <t>Kanpur</t>
        </is>
      </c>
      <c r="K88" s="30" t="inlineStr">
        <is>
          <t>Kanpur</t>
        </is>
      </c>
      <c r="L88" s="30" t="inlineStr">
        <is>
          <t>Visit</t>
        </is>
      </c>
      <c r="M88" s="30" t="inlineStr">
        <is>
          <t>1/1/25 1:39pm</t>
        </is>
      </c>
      <c r="N88" s="30" t="inlineStr">
        <is>
          <t>1/1/25 6:26pm</t>
        </is>
      </c>
      <c r="O88" s="30" t="inlineStr">
        <is>
          <t>204</t>
        </is>
      </c>
    </row>
    <row r="89">
      <c r="A89" s="30" t="n">
        <v>8</v>
      </c>
      <c r="B89" s="30" t="n">
        <v>85</v>
      </c>
      <c r="C89" s="30" t="inlineStr">
        <is>
          <t>Aditya Sahu / Ritu Raikwar</t>
        </is>
      </c>
      <c r="D89" s="30" t="inlineStr">
        <is>
          <t>30 / 24</t>
        </is>
      </c>
      <c r="E89" s="30" t="inlineStr">
        <is>
          <t>Friend</t>
        </is>
      </c>
      <c r="F89" s="30" t="inlineStr">
        <is>
          <t>Indian (IDs 617989404989, 39746642866)</t>
        </is>
      </c>
      <c r="G89" s="30" t="n">
        <v>2</v>
      </c>
      <c r="H89" s="30" t="inlineStr">
        <is>
          <t>K-49 World Bank Barra Colony, Kanpur</t>
        </is>
      </c>
      <c r="I89" s="30" t="inlineStr">
        <is>
          <t>9044133973</t>
        </is>
      </c>
      <c r="J89" s="30" t="inlineStr">
        <is>
          <t>Kanpur</t>
        </is>
      </c>
      <c r="K89" s="30" t="inlineStr">
        <is>
          <t>Kanpur</t>
        </is>
      </c>
      <c r="L89" s="30" t="inlineStr">
        <is>
          <t>Visit</t>
        </is>
      </c>
      <c r="M89" s="30" t="inlineStr">
        <is>
          <t>1/1/25 1:57pm</t>
        </is>
      </c>
      <c r="N89" s="30" t="inlineStr">
        <is>
          <t>1/1/25 4:48pm</t>
        </is>
      </c>
      <c r="O89" s="30" t="inlineStr">
        <is>
          <t>202</t>
        </is>
      </c>
    </row>
    <row r="90">
      <c r="A90" s="30" t="n">
        <v>8</v>
      </c>
      <c r="B90" s="30" t="n">
        <v>86</v>
      </c>
      <c r="C90" s="30" t="inlineStr">
        <is>
          <t>Ayush Yadav / Aastha</t>
        </is>
      </c>
      <c r="D90" s="30" t="inlineStr">
        <is>
          <t>19 / 20</t>
        </is>
      </c>
      <c r="E90" s="30" t="inlineStr">
        <is>
          <t>Friend</t>
        </is>
      </c>
      <c r="F90" s="30" t="inlineStr">
        <is>
          <t>Indian (IDs 420143136425, 663214513519)</t>
        </is>
      </c>
      <c r="G90" s="30" t="n">
        <v>2</v>
      </c>
      <c r="H90" s="30" t="inlineStr">
        <is>
          <t>Salempur, Panara, Fatehpur, Kanpur</t>
        </is>
      </c>
      <c r="I90" s="30" t="n"/>
      <c r="J90" s="30" t="inlineStr">
        <is>
          <t>Kanpur</t>
        </is>
      </c>
      <c r="K90" s="30" t="inlineStr">
        <is>
          <t>Kanpur</t>
        </is>
      </c>
      <c r="L90" s="30" t="inlineStr">
        <is>
          <t>Visit</t>
        </is>
      </c>
      <c r="M90" s="30" t="inlineStr">
        <is>
          <t>1/1/25 2:08pm</t>
        </is>
      </c>
      <c r="N90" s="30" t="inlineStr">
        <is>
          <t>1/1/25 4:20pm</t>
        </is>
      </c>
      <c r="O90" s="30" t="inlineStr">
        <is>
          <t>206</t>
        </is>
      </c>
    </row>
    <row r="91">
      <c r="A91" s="30" t="n">
        <v>8</v>
      </c>
      <c r="B91" s="30" t="n">
        <v>87</v>
      </c>
      <c r="C91" s="30" t="inlineStr">
        <is>
          <t>Abhay Kumar / Rashmi Devi</t>
        </is>
      </c>
      <c r="D91" s="30" t="inlineStr">
        <is>
          <t>19 / 25</t>
        </is>
      </c>
      <c r="E91" s="30" t="inlineStr">
        <is>
          <t>Friend</t>
        </is>
      </c>
      <c r="F91" s="30" t="inlineStr">
        <is>
          <t>Indian (IDs 726166027255, 896782030169)</t>
        </is>
      </c>
      <c r="G91" s="30" t="n">
        <v>2</v>
      </c>
      <c r="H91" s="30" t="inlineStr">
        <is>
          <t>Bhagwantpur, Sachendi, Binaur, Kanpur</t>
        </is>
      </c>
      <c r="I91" s="30" t="inlineStr">
        <is>
          <t>7678810279 / 7268014982</t>
        </is>
      </c>
      <c r="J91" s="30" t="inlineStr">
        <is>
          <t>Kanpur</t>
        </is>
      </c>
      <c r="K91" s="30" t="inlineStr">
        <is>
          <t>Kanpur</t>
        </is>
      </c>
      <c r="L91" s="30" t="inlineStr">
        <is>
          <t>Visit</t>
        </is>
      </c>
      <c r="M91" s="30" t="inlineStr">
        <is>
          <t>1/1/25 4:17pm</t>
        </is>
      </c>
      <c r="N91" s="30" t="inlineStr">
        <is>
          <t>2/1/25 7:18am</t>
        </is>
      </c>
      <c r="O91" s="30" t="inlineStr">
        <is>
          <t>206</t>
        </is>
      </c>
    </row>
    <row r="92">
      <c r="A92" s="30" t="n">
        <v>8</v>
      </c>
      <c r="B92" s="30" t="n">
        <v>88</v>
      </c>
      <c r="C92" s="30" t="inlineStr">
        <is>
          <t>Kapil Bhatt</t>
        </is>
      </c>
      <c r="D92" s="30" t="inlineStr">
        <is>
          <t>19</t>
        </is>
      </c>
      <c r="E92" s="30" t="inlineStr">
        <is>
          <t>Friends</t>
        </is>
      </c>
      <c r="F92" s="30" t="inlineStr">
        <is>
          <t>India (ID 78269772467)</t>
        </is>
      </c>
      <c r="G92" s="30" t="n">
        <v>6</v>
      </c>
      <c r="H92" s="30" t="inlineStr">
        <is>
          <t>Barra 8, E Block, Kanpur</t>
        </is>
      </c>
      <c r="I92" s="30" t="inlineStr">
        <is>
          <t>6387221857</t>
        </is>
      </c>
      <c r="J92" s="30" t="inlineStr">
        <is>
          <t>Kanpur</t>
        </is>
      </c>
      <c r="K92" s="30" t="inlineStr">
        <is>
          <t>Kanpur</t>
        </is>
      </c>
      <c r="L92" s="30" t="inlineStr">
        <is>
          <t>Visit</t>
        </is>
      </c>
      <c r="M92" s="30" t="inlineStr">
        <is>
          <t>2/1/25 12:25pm</t>
        </is>
      </c>
      <c r="N92" s="30" t="inlineStr">
        <is>
          <t>2/1/25</t>
        </is>
      </c>
      <c r="O92" s="30" t="inlineStr">
        <is>
          <t>204</t>
        </is>
      </c>
    </row>
    <row r="93">
      <c r="A93" s="30" t="n">
        <v>8</v>
      </c>
      <c r="B93" s="30" t="n">
        <v>89</v>
      </c>
      <c r="C93" s="30" t="inlineStr">
        <is>
          <t>Pawan Gupta / Priya Gupta</t>
        </is>
      </c>
      <c r="D93" s="30" t="inlineStr">
        <is>
          <t>42 / 36</t>
        </is>
      </c>
      <c r="E93" s="30" t="inlineStr">
        <is>
          <t>Wife</t>
        </is>
      </c>
      <c r="F93" s="30" t="inlineStr">
        <is>
          <t>Indian (IDs 959824095832, 341806674830)</t>
        </is>
      </c>
      <c r="G93" s="30" t="n">
        <v>2</v>
      </c>
      <c r="H93" s="30" t="inlineStr">
        <is>
          <t>Ambedkar Nagar, Auraiya</t>
        </is>
      </c>
      <c r="I93" s="30" t="inlineStr">
        <is>
          <t>8218905563 / 9889066081</t>
        </is>
      </c>
      <c r="J93" s="30" t="inlineStr">
        <is>
          <t>Auraiya</t>
        </is>
      </c>
      <c r="K93" s="30" t="inlineStr">
        <is>
          <t>Auraiya</t>
        </is>
      </c>
      <c r="L93" s="30" t="inlineStr">
        <is>
          <t>Relation</t>
        </is>
      </c>
      <c r="M93" s="30" t="inlineStr">
        <is>
          <t>2/1/25 11:42am</t>
        </is>
      </c>
      <c r="N93" s="30" t="inlineStr">
        <is>
          <t>2/1/25</t>
        </is>
      </c>
      <c r="O93" s="30" t="inlineStr">
        <is>
          <t>202</t>
        </is>
      </c>
    </row>
    <row r="94">
      <c r="A94" s="30" t="n">
        <v>8</v>
      </c>
      <c r="B94" s="30" t="n">
        <v>90</v>
      </c>
      <c r="C94" s="30" t="inlineStr">
        <is>
          <t>Amit Pal / Shakshi</t>
        </is>
      </c>
      <c r="D94" s="30" t="inlineStr">
        <is>
          <t>25 / 23</t>
        </is>
      </c>
      <c r="E94" s="30" t="inlineStr">
        <is>
          <t>Friend</t>
        </is>
      </c>
      <c r="F94" s="30" t="inlineStr">
        <is>
          <t>Indian (IDs 881719681296, 426183674046)</t>
        </is>
      </c>
      <c r="G94" s="30" t="n">
        <v>2</v>
      </c>
      <c r="H94" s="30" t="inlineStr">
        <is>
          <t>Jarauli Phase-2, Bihari Purwa, Barra Kanpur</t>
        </is>
      </c>
      <c r="I94" s="30" t="inlineStr">
        <is>
          <t>7380621774</t>
        </is>
      </c>
      <c r="J94" s="30" t="inlineStr">
        <is>
          <t>Kanpur</t>
        </is>
      </c>
      <c r="K94" s="30" t="inlineStr">
        <is>
          <t>Kanpur</t>
        </is>
      </c>
      <c r="L94" s="30" t="inlineStr">
        <is>
          <t>Visit</t>
        </is>
      </c>
      <c r="M94" s="30" t="inlineStr">
        <is>
          <t>2/1/25 12:08pm</t>
        </is>
      </c>
      <c r="N94" s="30" t="inlineStr">
        <is>
          <t>3/1/25</t>
        </is>
      </c>
      <c r="O94" s="30" t="inlineStr">
        <is>
          <t>202</t>
        </is>
      </c>
    </row>
    <row r="95">
      <c r="A95" s="30" t="n">
        <v>8</v>
      </c>
      <c r="B95" s="30" t="n">
        <v>91</v>
      </c>
      <c r="C95" s="30" t="inlineStr">
        <is>
          <t>Naitik Sharma / Arti Prajapati</t>
        </is>
      </c>
      <c r="D95" s="30" t="inlineStr">
        <is>
          <t>23 / 21</t>
        </is>
      </c>
      <c r="E95" s="30" t="inlineStr">
        <is>
          <t>Friend</t>
        </is>
      </c>
      <c r="F95" s="30" t="inlineStr">
        <is>
          <t>Indian (IDs 426777347831, 450367271649)</t>
        </is>
      </c>
      <c r="G95" s="30" t="n">
        <v>2</v>
      </c>
      <c r="H95" s="30" t="inlineStr">
        <is>
          <t>175/2 Sanjay Nagar, Gandhi Nagar</t>
        </is>
      </c>
      <c r="I95" s="30" t="inlineStr">
        <is>
          <t>8429360708</t>
        </is>
      </c>
      <c r="J95" s="30" t="inlineStr">
        <is>
          <t>Kanpur</t>
        </is>
      </c>
      <c r="K95" s="30" t="inlineStr">
        <is>
          <t>Kanpur</t>
        </is>
      </c>
      <c r="L95" s="30" t="inlineStr">
        <is>
          <t>Visit</t>
        </is>
      </c>
      <c r="M95" s="30" t="inlineStr">
        <is>
          <t>3/1/25</t>
        </is>
      </c>
      <c r="N95" s="30" t="inlineStr">
        <is>
          <t>3/1/25</t>
        </is>
      </c>
      <c r="O95" s="30" t="inlineStr">
        <is>
          <t>201</t>
        </is>
      </c>
    </row>
    <row r="96">
      <c r="A96" s="30" t="n">
        <v>8</v>
      </c>
      <c r="B96" s="30" t="n">
        <v>92</v>
      </c>
      <c r="C96" s="30" t="inlineStr">
        <is>
          <t>Aditya Sahu / Ritu</t>
        </is>
      </c>
      <c r="D96" s="30" t="inlineStr">
        <is>
          <t>30 / 24</t>
        </is>
      </c>
      <c r="E96" s="30" t="inlineStr">
        <is>
          <t>Friend</t>
        </is>
      </c>
      <c r="F96" s="30" t="inlineStr">
        <is>
          <t>India (IDs 617989404989, 39746642866)</t>
        </is>
      </c>
      <c r="G96" s="30" t="n">
        <v>2</v>
      </c>
      <c r="H96" s="30" t="inlineStr">
        <is>
          <t>K-49 World Bank Barra Colony, Kanpur</t>
        </is>
      </c>
      <c r="I96" s="30" t="inlineStr">
        <is>
          <t>9044133973</t>
        </is>
      </c>
      <c r="J96" s="30" t="inlineStr">
        <is>
          <t>Kanpur</t>
        </is>
      </c>
      <c r="K96" s="30" t="inlineStr">
        <is>
          <t>Kanpur</t>
        </is>
      </c>
      <c r="L96" s="30" t="inlineStr">
        <is>
          <t>Visit</t>
        </is>
      </c>
      <c r="M96" s="30" t="inlineStr">
        <is>
          <t>3/1/25 1:28pm</t>
        </is>
      </c>
      <c r="N96" s="30" t="inlineStr">
        <is>
          <t>3/1/25</t>
        </is>
      </c>
      <c r="O96" s="30" t="inlineStr">
        <is>
          <t>202</t>
        </is>
      </c>
    </row>
    <row r="97">
      <c r="A97" s="30" t="n">
        <v>8</v>
      </c>
      <c r="B97" s="30" t="n">
        <v>93</v>
      </c>
      <c r="C97" s="30" t="inlineStr">
        <is>
          <t>Arpit Mishra / Sonali Mishra</t>
        </is>
      </c>
      <c r="D97" s="30" t="inlineStr">
        <is>
          <t>19 / 19</t>
        </is>
      </c>
      <c r="E97" s="30" t="inlineStr">
        <is>
          <t>Friend</t>
        </is>
      </c>
      <c r="F97" s="30" t="inlineStr">
        <is>
          <t>Indian</t>
        </is>
      </c>
      <c r="G97" s="30" t="n">
        <v>2</v>
      </c>
      <c r="H97" s="30" t="inlineStr">
        <is>
          <t>6A-529, Kanpur</t>
        </is>
      </c>
      <c r="I97" s="30" t="inlineStr">
        <is>
          <t>9236916732</t>
        </is>
      </c>
      <c r="J97" s="30" t="inlineStr">
        <is>
          <t>Kanpur</t>
        </is>
      </c>
      <c r="K97" s="30" t="inlineStr">
        <is>
          <t>Kanpur</t>
        </is>
      </c>
      <c r="L97" s="30" t="inlineStr">
        <is>
          <t>Visit</t>
        </is>
      </c>
      <c r="M97" s="30" t="inlineStr">
        <is>
          <t>3/1/25 5:18pm</t>
        </is>
      </c>
      <c r="N97" s="30" t="inlineStr">
        <is>
          <t>3/1/25</t>
        </is>
      </c>
      <c r="O97" s="30" t="inlineStr">
        <is>
          <t>201</t>
        </is>
      </c>
    </row>
    <row r="98">
      <c r="A98" s="30" t="n">
        <v>8</v>
      </c>
      <c r="B98" s="30" t="n">
        <v>94</v>
      </c>
      <c r="C98" s="30" t="inlineStr">
        <is>
          <t>Aditya Sahu</t>
        </is>
      </c>
      <c r="D98" s="30" t="inlineStr">
        <is>
          <t>30</t>
        </is>
      </c>
      <c r="E98" s="30" t="inlineStr">
        <is>
          <t>Friend</t>
        </is>
      </c>
      <c r="F98" s="30" t="inlineStr">
        <is>
          <t>India (ID 617989404989)</t>
        </is>
      </c>
      <c r="G98" s="30" t="n">
        <v>3</v>
      </c>
      <c r="H98" s="30" t="inlineStr">
        <is>
          <t>K-49 World Bank Barra Colony, Kanpur</t>
        </is>
      </c>
      <c r="I98" s="30" t="inlineStr">
        <is>
          <t>9044133973</t>
        </is>
      </c>
      <c r="J98" s="30" t="inlineStr">
        <is>
          <t>Kanpur</t>
        </is>
      </c>
      <c r="K98" s="30" t="inlineStr">
        <is>
          <t>Kanpur</t>
        </is>
      </c>
      <c r="L98" s="30" t="inlineStr">
        <is>
          <t>Visit</t>
        </is>
      </c>
      <c r="M98" s="30" t="inlineStr">
        <is>
          <t>4/1/25 12:17am</t>
        </is>
      </c>
      <c r="N98" s="30" t="inlineStr">
        <is>
          <t>4/1/25</t>
        </is>
      </c>
      <c r="O98" s="30" t="inlineStr">
        <is>
          <t>201</t>
        </is>
      </c>
    </row>
    <row r="99">
      <c r="A99" s="30" t="n">
        <v>8</v>
      </c>
      <c r="B99" s="30" t="n">
        <v>95</v>
      </c>
      <c r="C99" s="30" t="inlineStr">
        <is>
          <t>Zishan Ahmed / Rabiya Khan</t>
        </is>
      </c>
      <c r="D99" s="30" t="inlineStr">
        <is>
          <t>43 / 42</t>
        </is>
      </c>
      <c r="E99" s="30" t="inlineStr">
        <is>
          <t>Friend</t>
        </is>
      </c>
      <c r="F99" s="30" t="inlineStr">
        <is>
          <t>Indian (IDs 438859390192, 794868564596)</t>
        </is>
      </c>
      <c r="G99" s="30" t="n">
        <v>2</v>
      </c>
      <c r="H99" s="30" t="inlineStr">
        <is>
          <t>117/84 P Block, Kakadeo, Naveen Nagar</t>
        </is>
      </c>
      <c r="I99" s="30" t="inlineStr">
        <is>
          <t>9696911758</t>
        </is>
      </c>
      <c r="J99" s="30" t="inlineStr">
        <is>
          <t>Kanpur</t>
        </is>
      </c>
      <c r="K99" s="30" t="inlineStr">
        <is>
          <t>Kanpur</t>
        </is>
      </c>
      <c r="L99" s="30" t="inlineStr">
        <is>
          <t>Visit</t>
        </is>
      </c>
      <c r="M99" s="30" t="inlineStr">
        <is>
          <t>4/1/25 6:18am</t>
        </is>
      </c>
      <c r="N99" s="30" t="inlineStr">
        <is>
          <t>4/1/25</t>
        </is>
      </c>
      <c r="O99" s="30" t="inlineStr">
        <is>
          <t>204</t>
        </is>
      </c>
    </row>
    <row r="100">
      <c r="A100" s="30" t="n">
        <v>8</v>
      </c>
      <c r="B100" s="30" t="n">
        <v>96</v>
      </c>
      <c r="C100" s="30" t="inlineStr">
        <is>
          <t>Himanshu / Nikki</t>
        </is>
      </c>
      <c r="D100" s="30" t="inlineStr">
        <is>
          <t>18 / 20</t>
        </is>
      </c>
      <c r="E100" s="30" t="inlineStr">
        <is>
          <t>Friend</t>
        </is>
      </c>
      <c r="F100" s="30" t="inlineStr">
        <is>
          <t>Indian (ID 691078256787)</t>
        </is>
      </c>
      <c r="G100" s="30" t="n">
        <v>2</v>
      </c>
      <c r="H100" s="30" t="inlineStr">
        <is>
          <t>Ram Singh Purwa</t>
        </is>
      </c>
      <c r="I100" s="30" t="inlineStr">
        <is>
          <t>7054004283</t>
        </is>
      </c>
      <c r="J100" s="30" t="inlineStr">
        <is>
          <t>Kanpur</t>
        </is>
      </c>
      <c r="K100" s="30" t="inlineStr">
        <is>
          <t>Kanpur</t>
        </is>
      </c>
      <c r="L100" s="30" t="inlineStr">
        <is>
          <t>Visit</t>
        </is>
      </c>
      <c r="M100" s="30" t="inlineStr">
        <is>
          <t>4/1/25 9:08am</t>
        </is>
      </c>
      <c r="N100" s="30" t="inlineStr">
        <is>
          <t>4/1/25 6:48pm</t>
        </is>
      </c>
      <c r="O100" s="30" t="inlineStr">
        <is>
          <t>203</t>
        </is>
      </c>
    </row>
    <row r="101">
      <c r="A101" s="30" t="n">
        <v>9</v>
      </c>
      <c r="B101" s="30" t="n">
        <v>97</v>
      </c>
      <c r="C101" s="30" t="inlineStr">
        <is>
          <t>Pranjal Gautam / Sanya Gautam</t>
        </is>
      </c>
      <c r="D101" s="30" t="inlineStr">
        <is>
          <t>23 / 25</t>
        </is>
      </c>
      <c r="E101" s="30" t="inlineStr">
        <is>
          <t>Friend</t>
        </is>
      </c>
      <c r="F101" s="30" t="inlineStr">
        <is>
          <t>Indian (IDs 693435170476, 623549992258)</t>
        </is>
      </c>
      <c r="G101" s="30" t="n">
        <v>2</v>
      </c>
      <c r="H101" s="30" t="inlineStr">
        <is>
          <t>Kaindha, Panki, Kanpur Nagar</t>
        </is>
      </c>
      <c r="I101" s="30" t="inlineStr">
        <is>
          <t>8112634638</t>
        </is>
      </c>
      <c r="J101" s="30" t="inlineStr">
        <is>
          <t>Kanpur</t>
        </is>
      </c>
      <c r="K101" s="30" t="inlineStr">
        <is>
          <t>Kanpur</t>
        </is>
      </c>
      <c r="L101" s="30" t="inlineStr">
        <is>
          <t>Visit</t>
        </is>
      </c>
      <c r="M101" s="30" t="inlineStr">
        <is>
          <t>5/1/25 10:25am</t>
        </is>
      </c>
      <c r="N101" s="30" t="inlineStr">
        <is>
          <t>5/1/25 2:44pm</t>
        </is>
      </c>
      <c r="O101" s="30" t="inlineStr">
        <is>
          <t>203</t>
        </is>
      </c>
    </row>
    <row r="102">
      <c r="A102" s="30" t="n">
        <v>9</v>
      </c>
      <c r="B102" s="30" t="n">
        <v>98</v>
      </c>
      <c r="C102" s="30" t="inlineStr">
        <is>
          <t>Shiv Karan Singh / Shivani</t>
        </is>
      </c>
      <c r="D102" s="30" t="inlineStr">
        <is>
          <t>25 / 24</t>
        </is>
      </c>
      <c r="E102" s="30" t="inlineStr">
        <is>
          <t>Friend</t>
        </is>
      </c>
      <c r="F102" s="30" t="inlineStr">
        <is>
          <t>Indian (IDs 801463839103, 623549992258)</t>
        </is>
      </c>
      <c r="G102" s="30" t="n">
        <v>2</v>
      </c>
      <c r="H102" s="30" t="inlineStr">
        <is>
          <t>Meharban Singh Ka Purwa, Kanpur</t>
        </is>
      </c>
      <c r="I102" s="30" t="inlineStr">
        <is>
          <t>6392813154</t>
        </is>
      </c>
      <c r="J102" s="30" t="inlineStr">
        <is>
          <t>Kanpur</t>
        </is>
      </c>
      <c r="K102" s="30" t="inlineStr">
        <is>
          <t>Kanpur</t>
        </is>
      </c>
      <c r="L102" s="30" t="inlineStr">
        <is>
          <t>Visit</t>
        </is>
      </c>
      <c r="M102" s="30" t="inlineStr">
        <is>
          <t>5/1/25 1:53pm</t>
        </is>
      </c>
      <c r="N102" s="30" t="inlineStr">
        <is>
          <t>5/1/25 5:07pm</t>
        </is>
      </c>
      <c r="O102" s="30" t="inlineStr">
        <is>
          <t>206</t>
        </is>
      </c>
    </row>
    <row r="103">
      <c r="A103" s="30" t="n">
        <v>9</v>
      </c>
      <c r="B103" s="30" t="n">
        <v>99</v>
      </c>
      <c r="C103" s="30" t="inlineStr">
        <is>
          <t>Abhay Mishra / Anjali Tiwari</t>
        </is>
      </c>
      <c r="D103" s="30" t="inlineStr">
        <is>
          <t>26 / 20</t>
        </is>
      </c>
      <c r="E103" s="30" t="inlineStr">
        <is>
          <t>Friend</t>
        </is>
      </c>
      <c r="F103" s="30" t="inlineStr">
        <is>
          <t>Indian (IDs 309719208445, 501274126550)</t>
        </is>
      </c>
      <c r="G103" s="30" t="n">
        <v>2</v>
      </c>
      <c r="H103" s="30" t="inlineStr">
        <is>
          <t>Dwivedi Nagar, Naubasta, Kanpur</t>
        </is>
      </c>
      <c r="I103" s="30" t="inlineStr">
        <is>
          <t>9696972862</t>
        </is>
      </c>
      <c r="J103" s="30" t="inlineStr">
        <is>
          <t>Kanpur</t>
        </is>
      </c>
      <c r="K103" s="30" t="inlineStr">
        <is>
          <t>Kanpur</t>
        </is>
      </c>
      <c r="L103" s="30" t="inlineStr">
        <is>
          <t>Visit</t>
        </is>
      </c>
      <c r="M103" s="30" t="inlineStr">
        <is>
          <t>5/1/25 6:03pm</t>
        </is>
      </c>
      <c r="N103" s="30" t="inlineStr">
        <is>
          <t>5/1/25 10:54pm</t>
        </is>
      </c>
      <c r="O103" s="30" t="inlineStr">
        <is>
          <t>202</t>
        </is>
      </c>
    </row>
    <row r="104">
      <c r="A104" s="30" t="n">
        <v>9</v>
      </c>
      <c r="B104" s="30" t="n">
        <v>100</v>
      </c>
      <c r="C104" s="30" t="inlineStr">
        <is>
          <t>Aditya / Sanjana</t>
        </is>
      </c>
      <c r="D104" s="30" t="inlineStr">
        <is>
          <t>20 / 22</t>
        </is>
      </c>
      <c r="E104" s="30" t="inlineStr">
        <is>
          <t>Friend</t>
        </is>
      </c>
      <c r="F104" s="30" t="inlineStr">
        <is>
          <t>Indian (IDs 67617397882, 320548076042)</t>
        </is>
      </c>
      <c r="G104" s="30" t="n">
        <v>2</v>
      </c>
      <c r="H104" s="30" t="inlineStr">
        <is>
          <t>Awas Vikas</t>
        </is>
      </c>
      <c r="I104" s="30" t="inlineStr">
        <is>
          <t>8115705855 / 8840102402</t>
        </is>
      </c>
      <c r="J104" s="30" t="inlineStr">
        <is>
          <t>Kanpur</t>
        </is>
      </c>
      <c r="K104" s="30" t="inlineStr">
        <is>
          <t>Kanpur</t>
        </is>
      </c>
      <c r="L104" s="30" t="inlineStr">
        <is>
          <t>Visit</t>
        </is>
      </c>
      <c r="M104" s="30" t="inlineStr">
        <is>
          <t>6/1/25 10:30am</t>
        </is>
      </c>
      <c r="N104" s="30" t="inlineStr">
        <is>
          <t>6/1/25 1:05pm</t>
        </is>
      </c>
      <c r="O104" s="30" t="inlineStr">
        <is>
          <t>205</t>
        </is>
      </c>
    </row>
    <row r="105">
      <c r="A105" s="30" t="n">
        <v>9</v>
      </c>
      <c r="B105" s="30" t="n">
        <v>101</v>
      </c>
      <c r="C105" s="30" t="inlineStr">
        <is>
          <t>Aman Verma / Shivani Gupta</t>
        </is>
      </c>
      <c r="D105" s="30" t="inlineStr">
        <is>
          <t>22 / 22</t>
        </is>
      </c>
      <c r="E105" s="30" t="inlineStr">
        <is>
          <t>Friend</t>
        </is>
      </c>
      <c r="F105" s="30" t="inlineStr">
        <is>
          <t>Indian</t>
        </is>
      </c>
      <c r="G105" s="30" t="n">
        <v>2</v>
      </c>
      <c r="H105" s="30" t="inlineStr">
        <is>
          <t>Naubasta Kanpur</t>
        </is>
      </c>
      <c r="I105" s="30" t="inlineStr">
        <is>
          <t>6394658814</t>
        </is>
      </c>
      <c r="J105" s="30" t="inlineStr">
        <is>
          <t>Kanpur</t>
        </is>
      </c>
      <c r="K105" s="30" t="inlineStr">
        <is>
          <t>Kanpur</t>
        </is>
      </c>
      <c r="L105" s="30" t="inlineStr">
        <is>
          <t>Visit</t>
        </is>
      </c>
      <c r="M105" s="30" t="inlineStr">
        <is>
          <t>6/1/25</t>
        </is>
      </c>
      <c r="N105" s="30" t="inlineStr">
        <is>
          <t>6/1/25 1:39pm</t>
        </is>
      </c>
      <c r="O105" s="30" t="inlineStr">
        <is>
          <t>202</t>
        </is>
      </c>
    </row>
    <row r="106">
      <c r="A106" s="30" t="n">
        <v>9</v>
      </c>
      <c r="B106" s="30" t="n">
        <v>102</v>
      </c>
      <c r="C106" s="30" t="inlineStr">
        <is>
          <t>Abhay Mishra / Anjali Tiwari</t>
        </is>
      </c>
      <c r="D106" s="30" t="inlineStr">
        <is>
          <t>20 / 20</t>
        </is>
      </c>
      <c r="E106" s="30" t="inlineStr">
        <is>
          <t>Friend</t>
        </is>
      </c>
      <c r="F106" s="30" t="inlineStr">
        <is>
          <t>Indian (IDs 309719208445, 501274126550)</t>
        </is>
      </c>
      <c r="G106" s="30" t="n">
        <v>2</v>
      </c>
      <c r="H106" s="30" t="inlineStr">
        <is>
          <t>Dwivedi Nagar, Naubasta, Kanpur</t>
        </is>
      </c>
      <c r="I106" s="30" t="inlineStr">
        <is>
          <t>9696972862</t>
        </is>
      </c>
      <c r="J106" s="30" t="inlineStr">
        <is>
          <t>Kanpur</t>
        </is>
      </c>
      <c r="K106" s="30" t="inlineStr">
        <is>
          <t>Kanpur</t>
        </is>
      </c>
      <c r="L106" s="30" t="inlineStr">
        <is>
          <t>Visit</t>
        </is>
      </c>
      <c r="M106" s="30" t="inlineStr">
        <is>
          <t>6/1/25 4:51pm</t>
        </is>
      </c>
      <c r="N106" s="30" t="inlineStr">
        <is>
          <t>6/1/25</t>
        </is>
      </c>
      <c r="O106" s="30" t="inlineStr">
        <is>
          <t>205</t>
        </is>
      </c>
    </row>
    <row r="107">
      <c r="A107" s="30" t="n">
        <v>9</v>
      </c>
      <c r="B107" s="30" t="n">
        <v>103</v>
      </c>
      <c r="C107" s="30" t="inlineStr">
        <is>
          <t>Kafil Bhatt</t>
        </is>
      </c>
      <c r="D107" s="30" t="inlineStr">
        <is>
          <t>19</t>
        </is>
      </c>
      <c r="E107" s="30" t="inlineStr">
        <is>
          <t>Friend</t>
        </is>
      </c>
      <c r="F107" s="30" t="inlineStr">
        <is>
          <t>Indian (ID 78269772469)</t>
        </is>
      </c>
      <c r="G107" s="30" t="n">
        <v>2</v>
      </c>
      <c r="H107" s="30" t="inlineStr">
        <is>
          <t>Barra 8, E Block, Kanpur</t>
        </is>
      </c>
      <c r="I107" s="30" t="inlineStr">
        <is>
          <t>6387221857</t>
        </is>
      </c>
      <c r="J107" s="30" t="inlineStr">
        <is>
          <t>Kanpur</t>
        </is>
      </c>
      <c r="K107" s="30" t="inlineStr">
        <is>
          <t>Kanpur</t>
        </is>
      </c>
      <c r="L107" s="30" t="inlineStr">
        <is>
          <t>Visit</t>
        </is>
      </c>
      <c r="M107" s="30" t="inlineStr">
        <is>
          <t>6/1/25 10:57pm</t>
        </is>
      </c>
      <c r="N107" s="30" t="inlineStr">
        <is>
          <t>7/1/25</t>
        </is>
      </c>
      <c r="O107" s="30" t="inlineStr">
        <is>
          <t>204</t>
        </is>
      </c>
    </row>
    <row r="108">
      <c r="A108" s="30" t="n">
        <v>9</v>
      </c>
      <c r="B108" s="30" t="n">
        <v>104</v>
      </c>
      <c r="C108" s="30" t="inlineStr">
        <is>
          <t>Shivam Yadav</t>
        </is>
      </c>
      <c r="D108" s="30" t="inlineStr">
        <is>
          <t>28</t>
        </is>
      </c>
      <c r="E108" s="30" t="inlineStr">
        <is>
          <t>Friend</t>
        </is>
      </c>
      <c r="F108" s="30" t="inlineStr">
        <is>
          <t>India</t>
        </is>
      </c>
      <c r="G108" s="30" t="n">
        <v>3</v>
      </c>
      <c r="H108" s="30" t="inlineStr">
        <is>
          <t>Barra Purwa, Kanpur</t>
        </is>
      </c>
      <c r="I108" s="30" t="inlineStr">
        <is>
          <t>7307887729</t>
        </is>
      </c>
      <c r="J108" s="30" t="inlineStr">
        <is>
          <t>Kanpur</t>
        </is>
      </c>
      <c r="K108" s="30" t="inlineStr">
        <is>
          <t>Kanpur</t>
        </is>
      </c>
      <c r="L108" s="30" t="inlineStr">
        <is>
          <t>Visit</t>
        </is>
      </c>
      <c r="M108" s="30" t="inlineStr">
        <is>
          <t>7/1/25 12:56am</t>
        </is>
      </c>
      <c r="N108" s="30" t="inlineStr">
        <is>
          <t>7/1/25 8:26am</t>
        </is>
      </c>
      <c r="O108" s="30" t="inlineStr">
        <is>
          <t>202</t>
        </is>
      </c>
    </row>
    <row r="109">
      <c r="A109" s="30" t="n">
        <v>9</v>
      </c>
      <c r="B109" s="30" t="n">
        <v>105</v>
      </c>
      <c r="C109" s="30" t="inlineStr">
        <is>
          <t>Kartikey Agnihotri / Supriya Shukla</t>
        </is>
      </c>
      <c r="D109" s="30" t="inlineStr">
        <is>
          <t>20 / 19</t>
        </is>
      </c>
      <c r="E109" s="30" t="inlineStr">
        <is>
          <t>Friend</t>
        </is>
      </c>
      <c r="F109" s="30" t="inlineStr">
        <is>
          <t>Indian (ID 428805573898)</t>
        </is>
      </c>
      <c r="G109" s="30" t="n">
        <v>2</v>
      </c>
      <c r="H109" s="30" t="inlineStr">
        <is>
          <t>126/91 Block H, Govind Nagar, Kanpur</t>
        </is>
      </c>
      <c r="I109" s="30" t="inlineStr">
        <is>
          <t>8317064158</t>
        </is>
      </c>
      <c r="J109" s="30" t="inlineStr">
        <is>
          <t>Kanpur</t>
        </is>
      </c>
      <c r="K109" s="30" t="inlineStr">
        <is>
          <t>Kanpur</t>
        </is>
      </c>
      <c r="L109" s="30" t="inlineStr">
        <is>
          <t>Visit</t>
        </is>
      </c>
      <c r="M109" s="30" t="inlineStr">
        <is>
          <t>7/1/25 11:34am</t>
        </is>
      </c>
      <c r="N109" s="30" t="inlineStr">
        <is>
          <t>7/1/25 1:30pm</t>
        </is>
      </c>
      <c r="O109" s="30" t="inlineStr">
        <is>
          <t>202</t>
        </is>
      </c>
    </row>
    <row r="110">
      <c r="A110" s="30" t="n">
        <v>9</v>
      </c>
      <c r="B110" s="30" t="n">
        <v>106</v>
      </c>
      <c r="C110" s="30" t="inlineStr">
        <is>
          <t>Amit Pal / Shakshi</t>
        </is>
      </c>
      <c r="D110" s="30" t="inlineStr">
        <is>
          <t>25 / 23</t>
        </is>
      </c>
      <c r="E110" s="30" t="inlineStr">
        <is>
          <t>Friend</t>
        </is>
      </c>
      <c r="F110" s="30" t="inlineStr">
        <is>
          <t>Indian (IDs 881719681296, 426182674046)</t>
        </is>
      </c>
      <c r="G110" s="30" t="n">
        <v>2</v>
      </c>
      <c r="H110" s="30" t="inlineStr">
        <is>
          <t>Jarauli Phase-2, Bihari Purwa, Kanpur</t>
        </is>
      </c>
      <c r="I110" s="30" t="inlineStr">
        <is>
          <t>7380621774</t>
        </is>
      </c>
      <c r="J110" s="30" t="inlineStr">
        <is>
          <t>Kanpur</t>
        </is>
      </c>
      <c r="K110" s="30" t="inlineStr">
        <is>
          <t>Kanpur</t>
        </is>
      </c>
      <c r="L110" s="30" t="inlineStr">
        <is>
          <t>Visit</t>
        </is>
      </c>
      <c r="M110" s="30" t="inlineStr">
        <is>
          <t>8/1/25 1:16pm</t>
        </is>
      </c>
      <c r="N110" s="30" t="inlineStr">
        <is>
          <t>8/1/25 6:33pm</t>
        </is>
      </c>
      <c r="O110" s="30" t="inlineStr">
        <is>
          <t>204</t>
        </is>
      </c>
    </row>
    <row r="111">
      <c r="A111" s="30" t="n">
        <v>9</v>
      </c>
      <c r="B111" s="30" t="n">
        <v>107</v>
      </c>
      <c r="C111" s="30" t="inlineStr">
        <is>
          <t>Abhay Mishra / Anjali Tiwari</t>
        </is>
      </c>
      <c r="D111" s="30" t="inlineStr">
        <is>
          <t>26 / 20</t>
        </is>
      </c>
      <c r="E111" s="30" t="inlineStr">
        <is>
          <t>Friend</t>
        </is>
      </c>
      <c r="F111" s="30" t="inlineStr">
        <is>
          <t>Indian (IDs 309719208445, 501274126550)</t>
        </is>
      </c>
      <c r="G111" s="30" t="n">
        <v>2</v>
      </c>
      <c r="H111" s="30" t="inlineStr">
        <is>
          <t>Dwivedi Nagar, Naubasta, Kanpur</t>
        </is>
      </c>
      <c r="I111" s="30" t="inlineStr">
        <is>
          <t>9696972862</t>
        </is>
      </c>
      <c r="J111" s="30" t="inlineStr">
        <is>
          <t>Kanpur</t>
        </is>
      </c>
      <c r="K111" s="30" t="inlineStr">
        <is>
          <t>Kanpur</t>
        </is>
      </c>
      <c r="L111" s="30" t="inlineStr">
        <is>
          <t>Visit</t>
        </is>
      </c>
      <c r="M111" s="30" t="inlineStr">
        <is>
          <t>8/1/25 5:57pm</t>
        </is>
      </c>
      <c r="N111" s="30" t="inlineStr">
        <is>
          <t>8/1/25 10:15pm</t>
        </is>
      </c>
      <c r="O111" s="30" t="inlineStr">
        <is>
          <t>205</t>
        </is>
      </c>
    </row>
    <row r="112">
      <c r="A112" s="30" t="n">
        <v>9</v>
      </c>
      <c r="B112" s="30" t="n">
        <v>108</v>
      </c>
      <c r="C112" s="30" t="inlineStr">
        <is>
          <t>Aman Sharma / Shweta Pathak</t>
        </is>
      </c>
      <c r="D112" s="30" t="inlineStr">
        <is>
          <t>19 / 19</t>
        </is>
      </c>
      <c r="E112" s="30" t="inlineStr">
        <is>
          <t>Friend</t>
        </is>
      </c>
      <c r="F112" s="30" t="inlineStr">
        <is>
          <t>Indian (IDs 652317493620, 510594381798)</t>
        </is>
      </c>
      <c r="G112" s="30" t="n">
        <v>2</v>
      </c>
      <c r="H112" s="30" t="inlineStr">
        <is>
          <t>267/2 Rail Bazar, Kanpur Cantt</t>
        </is>
      </c>
      <c r="I112" s="30" t="inlineStr">
        <is>
          <t>9451930495</t>
        </is>
      </c>
      <c r="J112" s="30" t="inlineStr">
        <is>
          <t>Kanpur</t>
        </is>
      </c>
      <c r="K112" s="30" t="inlineStr">
        <is>
          <t>Kanpur</t>
        </is>
      </c>
      <c r="L112" s="30" t="inlineStr">
        <is>
          <t>Visit</t>
        </is>
      </c>
      <c r="M112" s="30" t="inlineStr">
        <is>
          <t>9/1/25 2:11pm</t>
        </is>
      </c>
      <c r="N112" s="30" t="inlineStr">
        <is>
          <t>9/1/25 4:01pm</t>
        </is>
      </c>
      <c r="O112" s="30" t="inlineStr">
        <is>
          <t>204</t>
        </is>
      </c>
    </row>
    <row r="113">
      <c r="A113" s="30" t="n">
        <v>10</v>
      </c>
      <c r="B113" s="30" t="n">
        <v>109</v>
      </c>
      <c r="C113" s="30" t="inlineStr">
        <is>
          <t>Avadhesh Gupta / Ragini Kumari</t>
        </is>
      </c>
      <c r="D113" s="30" t="inlineStr">
        <is>
          <t>48 / 32</t>
        </is>
      </c>
      <c r="E113" s="30" t="inlineStr">
        <is>
          <t>Friend</t>
        </is>
      </c>
      <c r="F113" s="30" t="inlineStr">
        <is>
          <t>Indian (IDs 550294414392, 474075907336)</t>
        </is>
      </c>
      <c r="G113" s="30" t="n">
        <v>2</v>
      </c>
      <c r="H113" s="30" t="inlineStr">
        <is>
          <t>11A Khadepur, New Basti, Yogendra Vihar-2, Naubasta</t>
        </is>
      </c>
      <c r="I113" s="30" t="inlineStr">
        <is>
          <t>7388478655</t>
        </is>
      </c>
      <c r="J113" s="30" t="inlineStr">
        <is>
          <t>Kanpur</t>
        </is>
      </c>
      <c r="K113" s="30" t="inlineStr">
        <is>
          <t>Kanpur</t>
        </is>
      </c>
      <c r="L113" s="30" t="inlineStr">
        <is>
          <t>Visit</t>
        </is>
      </c>
      <c r="M113" s="30" t="inlineStr">
        <is>
          <t>9/1/25 2:42pm</t>
        </is>
      </c>
      <c r="N113" s="30" t="inlineStr">
        <is>
          <t>9/1/25 6:03pm</t>
        </is>
      </c>
      <c r="O113" s="30" t="inlineStr">
        <is>
          <t>204</t>
        </is>
      </c>
    </row>
    <row r="114">
      <c r="A114" s="30" t="n">
        <v>10</v>
      </c>
      <c r="B114" s="30" t="n">
        <v>110</v>
      </c>
      <c r="C114" s="30" t="inlineStr">
        <is>
          <t>Aditya Sahu / Ishika</t>
        </is>
      </c>
      <c r="D114" s="30" t="inlineStr">
        <is>
          <t>30 / 24</t>
        </is>
      </c>
      <c r="E114" s="30" t="inlineStr">
        <is>
          <t>Friend</t>
        </is>
      </c>
      <c r="F114" s="30" t="inlineStr">
        <is>
          <t>Indian (IDs 617989404989, 39746642866)</t>
        </is>
      </c>
      <c r="G114" s="30" t="n">
        <v>2</v>
      </c>
      <c r="H114" s="30" t="inlineStr">
        <is>
          <t>K-49 World Bank Barra Colony Kanpur</t>
        </is>
      </c>
      <c r="I114" s="30" t="inlineStr">
        <is>
          <t>9044133973</t>
        </is>
      </c>
      <c r="J114" s="30" t="inlineStr">
        <is>
          <t>Kanpur</t>
        </is>
      </c>
      <c r="K114" s="30" t="inlineStr">
        <is>
          <t>Kanpur</t>
        </is>
      </c>
      <c r="L114" s="30" t="inlineStr">
        <is>
          <t>Visit</t>
        </is>
      </c>
      <c r="M114" s="30" t="inlineStr">
        <is>
          <t>9/1/25 11:41pm</t>
        </is>
      </c>
      <c r="N114" s="30" t="inlineStr">
        <is>
          <t>10/1/25 8:47am</t>
        </is>
      </c>
      <c r="O114" s="30" t="inlineStr">
        <is>
          <t>204</t>
        </is>
      </c>
    </row>
    <row r="115">
      <c r="A115" s="30" t="n">
        <v>10</v>
      </c>
      <c r="B115" s="30" t="n">
        <v>111</v>
      </c>
      <c r="C115" s="30" t="inlineStr">
        <is>
          <t>Aditya Raj Gupta / Suyash Gupta</t>
        </is>
      </c>
      <c r="D115" s="30" t="inlineStr">
        <is>
          <t>21 / 22</t>
        </is>
      </c>
      <c r="E115" s="30" t="inlineStr">
        <is>
          <t>Friend</t>
        </is>
      </c>
      <c r="F115" s="30" t="inlineStr">
        <is>
          <t>India (IDs 581421949664, Passport ATA3196003)</t>
        </is>
      </c>
      <c r="G115" s="30" t="n">
        <v>2</v>
      </c>
      <c r="H115" s="30" t="inlineStr">
        <is>
          <t>213 Kidwai Nagar Kanpur / Naubasta Kanpur</t>
        </is>
      </c>
      <c r="I115" s="30" t="inlineStr">
        <is>
          <t>6307112349</t>
        </is>
      </c>
      <c r="J115" s="30" t="inlineStr">
        <is>
          <t>Kanpur</t>
        </is>
      </c>
      <c r="K115" s="30" t="inlineStr">
        <is>
          <t>Kanpur</t>
        </is>
      </c>
      <c r="L115" s="30" t="inlineStr">
        <is>
          <t>Visit</t>
        </is>
      </c>
      <c r="M115" s="30" t="inlineStr">
        <is>
          <t>10/1/25 1:34am</t>
        </is>
      </c>
      <c r="N115" s="30" t="inlineStr">
        <is>
          <t>10/1/25 5:16am</t>
        </is>
      </c>
      <c r="O115" s="30" t="inlineStr">
        <is>
          <t>202</t>
        </is>
      </c>
    </row>
    <row r="116">
      <c r="A116" s="30" t="n">
        <v>10</v>
      </c>
      <c r="B116" s="30" t="n">
        <v>112</v>
      </c>
      <c r="C116" s="30" t="inlineStr">
        <is>
          <t>Ankit Kumar / Pooja Soni</t>
        </is>
      </c>
      <c r="D116" s="30" t="inlineStr">
        <is>
          <t>21 / 20</t>
        </is>
      </c>
      <c r="E116" s="30" t="inlineStr">
        <is>
          <t>Friend</t>
        </is>
      </c>
      <c r="F116" s="30" t="inlineStr">
        <is>
          <t>Indian (IDs 353041501274, 261504139219)</t>
        </is>
      </c>
      <c r="G116" s="30" t="n">
        <v>2</v>
      </c>
      <c r="H116" s="30" t="inlineStr">
        <is>
          <t>Parsauli, Kathara Nagar, Kanpur UP</t>
        </is>
      </c>
      <c r="I116" s="30" t="inlineStr">
        <is>
          <t>6386680960</t>
        </is>
      </c>
      <c r="J116" s="30" t="inlineStr">
        <is>
          <t>Kanpur</t>
        </is>
      </c>
      <c r="K116" s="30" t="inlineStr">
        <is>
          <t>Kanpur</t>
        </is>
      </c>
      <c r="L116" s="30" t="inlineStr">
        <is>
          <t>Visit</t>
        </is>
      </c>
      <c r="M116" s="30" t="inlineStr">
        <is>
          <t>10/1/25 11:10am</t>
        </is>
      </c>
      <c r="N116" s="30" t="inlineStr">
        <is>
          <t>10/1/25 2:42pm</t>
        </is>
      </c>
      <c r="O116" s="30" t="inlineStr">
        <is>
          <t>203</t>
        </is>
      </c>
    </row>
    <row r="117">
      <c r="A117" s="30" t="n">
        <v>10</v>
      </c>
      <c r="B117" s="30" t="n">
        <v>113</v>
      </c>
      <c r="C117" s="30" t="inlineStr">
        <is>
          <t>Divyansh / Ananya</t>
        </is>
      </c>
      <c r="D117" s="30" t="inlineStr">
        <is>
          <t>21 / 21</t>
        </is>
      </c>
      <c r="E117" s="30" t="inlineStr">
        <is>
          <t>Friend</t>
        </is>
      </c>
      <c r="F117" s="30" t="inlineStr">
        <is>
          <t>Indian (IDs 640217140259, 453761304614)</t>
        </is>
      </c>
      <c r="G117" s="30" t="n">
        <v>2</v>
      </c>
      <c r="H117" s="30" t="inlineStr">
        <is>
          <t>Naubasta / Naubasta</t>
        </is>
      </c>
      <c r="I117" s="30" t="inlineStr">
        <is>
          <t>9554346863</t>
        </is>
      </c>
      <c r="J117" s="30" t="inlineStr">
        <is>
          <t>Kanpur</t>
        </is>
      </c>
      <c r="K117" s="30" t="inlineStr">
        <is>
          <t>Kanpur</t>
        </is>
      </c>
      <c r="L117" s="30" t="inlineStr">
        <is>
          <t>Visit</t>
        </is>
      </c>
      <c r="M117" s="30" t="inlineStr">
        <is>
          <t>10/1/25 11:42am</t>
        </is>
      </c>
      <c r="N117" s="30" t="inlineStr">
        <is>
          <t>10/1/25 2:36pm</t>
        </is>
      </c>
      <c r="O117" s="30" t="inlineStr">
        <is>
          <t>202</t>
        </is>
      </c>
    </row>
    <row r="118">
      <c r="A118" s="30" t="n">
        <v>10</v>
      </c>
      <c r="B118" s="30" t="n">
        <v>114</v>
      </c>
      <c r="C118" s="30" t="inlineStr">
        <is>
          <t>Pawan / Susma</t>
        </is>
      </c>
      <c r="D118" s="30" t="inlineStr">
        <is>
          <t>22 / 20</t>
        </is>
      </c>
      <c r="E118" s="30" t="inlineStr">
        <is>
          <t>Friend</t>
        </is>
      </c>
      <c r="F118" s="30" t="inlineStr">
        <is>
          <t>Indian (IDs 803640962463, 839702701620)</t>
        </is>
      </c>
      <c r="G118" s="30" t="n">
        <v>2</v>
      </c>
      <c r="H118" s="30" t="inlineStr">
        <is>
          <t>Hemant Vihar, Barra-2, Kanpur</t>
        </is>
      </c>
      <c r="I118" s="30" t="inlineStr">
        <is>
          <t>7388745618</t>
        </is>
      </c>
      <c r="J118" s="30" t="inlineStr">
        <is>
          <t>Kanpur</t>
        </is>
      </c>
      <c r="K118" s="30" t="inlineStr">
        <is>
          <t>Kanpur</t>
        </is>
      </c>
      <c r="L118" s="30" t="inlineStr">
        <is>
          <t>Visit</t>
        </is>
      </c>
      <c r="M118" s="30" t="inlineStr">
        <is>
          <t>10/1/25 12:21pm</t>
        </is>
      </c>
      <c r="N118" s="30" t="inlineStr">
        <is>
          <t>10/1/25 2:56pm</t>
        </is>
      </c>
      <c r="O118" s="30" t="inlineStr">
        <is>
          <t>206</t>
        </is>
      </c>
    </row>
    <row r="119">
      <c r="A119" s="30" t="n">
        <v>10</v>
      </c>
      <c r="B119" s="30" t="n">
        <v>115</v>
      </c>
      <c r="C119" s="30" t="inlineStr">
        <is>
          <t>Avdesh Gupta / Ragini Kumari</t>
        </is>
      </c>
      <c r="D119" s="30" t="inlineStr">
        <is>
          <t>48 / 32</t>
        </is>
      </c>
      <c r="E119" s="30" t="inlineStr">
        <is>
          <t>Friend</t>
        </is>
      </c>
      <c r="F119" s="30" t="inlineStr">
        <is>
          <t>Indian (IDs 550294414392, 474075907336)</t>
        </is>
      </c>
      <c r="G119" s="30" t="n">
        <v>2</v>
      </c>
      <c r="H119" s="30" t="inlineStr">
        <is>
          <t>11-A Khadepur, New Basti, Yogendra Vihar, Naubasta</t>
        </is>
      </c>
      <c r="I119" s="30" t="inlineStr">
        <is>
          <t>7388478655</t>
        </is>
      </c>
      <c r="J119" s="30" t="inlineStr">
        <is>
          <t>Kanpur</t>
        </is>
      </c>
      <c r="K119" s="30" t="inlineStr">
        <is>
          <t>Kanpur</t>
        </is>
      </c>
      <c r="L119" s="30" t="inlineStr">
        <is>
          <t>Visit</t>
        </is>
      </c>
      <c r="M119" s="30" t="inlineStr">
        <is>
          <t>11/1/25 2:33pm</t>
        </is>
      </c>
      <c r="N119" s="30" t="inlineStr">
        <is>
          <t>11/1/25 7:06pm</t>
        </is>
      </c>
      <c r="O119" s="30" t="inlineStr">
        <is>
          <t>205</t>
        </is>
      </c>
    </row>
    <row r="120">
      <c r="A120" s="30" t="n">
        <v>10</v>
      </c>
      <c r="B120" s="30" t="n">
        <v>116</v>
      </c>
      <c r="C120" s="30" t="inlineStr">
        <is>
          <t>Karan Dixit / Gauri Tripathi</t>
        </is>
      </c>
      <c r="D120" s="30" t="inlineStr">
        <is>
          <t>23 / 21</t>
        </is>
      </c>
      <c r="E120" s="30" t="inlineStr">
        <is>
          <t>Friend</t>
        </is>
      </c>
      <c r="F120" s="30" t="inlineStr">
        <is>
          <t>Indian (IDs 526104477297, 924931667569)</t>
        </is>
      </c>
      <c r="G120" s="30" t="n">
        <v>2</v>
      </c>
      <c r="H120" s="30" t="inlineStr">
        <is>
          <t>I-J 246, Vishwa Bank Barra-2, Kanpur / 616 Jarauli Phase-2</t>
        </is>
      </c>
      <c r="I120" s="30" t="inlineStr">
        <is>
          <t>8188921454</t>
        </is>
      </c>
      <c r="J120" s="30" t="inlineStr">
        <is>
          <t>Kanpur</t>
        </is>
      </c>
      <c r="K120" s="30" t="inlineStr">
        <is>
          <t>Kanpur</t>
        </is>
      </c>
      <c r="L120" s="30" t="inlineStr">
        <is>
          <t>Visit</t>
        </is>
      </c>
      <c r="M120" s="30" t="inlineStr">
        <is>
          <t>11/1/25 5:38pm</t>
        </is>
      </c>
      <c r="N120" s="30" t="inlineStr">
        <is>
          <t>11/1/25 6:07pm</t>
        </is>
      </c>
      <c r="O120" s="30" t="inlineStr">
        <is>
          <t>202</t>
        </is>
      </c>
    </row>
    <row r="121">
      <c r="A121" s="30" t="n">
        <v>10</v>
      </c>
      <c r="B121" s="30" t="n">
        <v>117</v>
      </c>
      <c r="C121" s="30" t="inlineStr">
        <is>
          <t>Nitin Dixit / Laxmi</t>
        </is>
      </c>
      <c r="D121" s="30" t="inlineStr">
        <is>
          <t>26 / 25</t>
        </is>
      </c>
      <c r="E121" s="30" t="inlineStr">
        <is>
          <t>Friend</t>
        </is>
      </c>
      <c r="F121" s="30" t="inlineStr">
        <is>
          <t>Indian (IDs 752197909772, 987574951926)</t>
        </is>
      </c>
      <c r="G121" s="30" t="n">
        <v>2</v>
      </c>
      <c r="H121" s="30" t="inlineStr">
        <is>
          <t>Dhankutti, Kanpur / Jaspura, Banpurwa</t>
        </is>
      </c>
      <c r="I121" s="30" t="inlineStr">
        <is>
          <t>6391291918</t>
        </is>
      </c>
      <c r="J121" s="30" t="inlineStr">
        <is>
          <t>Kanpur</t>
        </is>
      </c>
      <c r="K121" s="30" t="inlineStr">
        <is>
          <t>Kanpur</t>
        </is>
      </c>
      <c r="L121" s="30" t="inlineStr">
        <is>
          <t>Visit</t>
        </is>
      </c>
      <c r="M121" s="30" t="inlineStr">
        <is>
          <t>11/1/25 5:46pm</t>
        </is>
      </c>
      <c r="N121" s="30" t="inlineStr">
        <is>
          <t>11/1/25 6:35pm</t>
        </is>
      </c>
      <c r="O121" s="30" t="inlineStr">
        <is>
          <t>203</t>
        </is>
      </c>
    </row>
    <row r="122">
      <c r="A122" s="30" t="n">
        <v>10</v>
      </c>
      <c r="B122" s="30" t="n">
        <v>118</v>
      </c>
      <c r="C122" s="30" t="inlineStr">
        <is>
          <t>(signature only, name unclear)</t>
        </is>
      </c>
      <c r="D122" s="30" t="n"/>
      <c r="E122" s="30" t="n"/>
      <c r="F122" s="30" t="n"/>
      <c r="G122" s="30" t="n">
        <v>2</v>
      </c>
      <c r="H122" s="30" t="inlineStr">
        <is>
          <t>-</t>
        </is>
      </c>
      <c r="I122" s="30" t="n"/>
      <c r="J122" s="30" t="inlineStr">
        <is>
          <t>Kanpur</t>
        </is>
      </c>
      <c r="K122" s="30" t="inlineStr">
        <is>
          <t>Kanpur</t>
        </is>
      </c>
      <c r="L122" s="30" t="inlineStr">
        <is>
          <t>Visit</t>
        </is>
      </c>
      <c r="M122" s="30" t="inlineStr">
        <is>
          <t>14/1/25 8:01am</t>
        </is>
      </c>
      <c r="N122" s="30" t="inlineStr">
        <is>
          <t>14/1/25 9:10am</t>
        </is>
      </c>
      <c r="O122" s="30" t="inlineStr">
        <is>
          <t>202</t>
        </is>
      </c>
    </row>
    <row r="123">
      <c r="A123" s="30" t="n">
        <v>10</v>
      </c>
      <c r="B123" s="30" t="n">
        <v>119</v>
      </c>
      <c r="C123" s="30" t="inlineStr">
        <is>
          <t>Ram Prasad / Brij Singh</t>
        </is>
      </c>
      <c r="D123" s="30" t="inlineStr">
        <is>
          <t>30</t>
        </is>
      </c>
      <c r="E123" s="30" t="inlineStr">
        <is>
          <t>Friend</t>
        </is>
      </c>
      <c r="F123" s="30" t="inlineStr">
        <is>
          <t>Indian</t>
        </is>
      </c>
      <c r="G123" s="30" t="n">
        <v>2</v>
      </c>
      <c r="H123" s="30" t="inlineStr">
        <is>
          <t>Vishwa Bank Barra, Kanpur</t>
        </is>
      </c>
      <c r="I123" s="30" t="inlineStr">
        <is>
          <t>9984182961</t>
        </is>
      </c>
      <c r="J123" s="30" t="inlineStr">
        <is>
          <t>Kanpur</t>
        </is>
      </c>
      <c r="K123" s="30" t="inlineStr">
        <is>
          <t>Kanpur</t>
        </is>
      </c>
      <c r="L123" s="30" t="inlineStr">
        <is>
          <t>Visit</t>
        </is>
      </c>
      <c r="M123" s="30" t="inlineStr">
        <is>
          <t>14/1/25 12:02pm</t>
        </is>
      </c>
      <c r="N123" s="30" t="inlineStr">
        <is>
          <t>14/1/25 2:49pm</t>
        </is>
      </c>
      <c r="O123" s="30" t="inlineStr">
        <is>
          <t>201</t>
        </is>
      </c>
    </row>
    <row r="124">
      <c r="A124" s="30" t="n">
        <v>10</v>
      </c>
      <c r="B124" s="30" t="n">
        <v>120</v>
      </c>
      <c r="C124" s="30" t="inlineStr">
        <is>
          <t>Ansu</t>
        </is>
      </c>
      <c r="D124" s="30" t="inlineStr">
        <is>
          <t>20 / 19</t>
        </is>
      </c>
      <c r="E124" s="30" t="inlineStr">
        <is>
          <t>Friend</t>
        </is>
      </c>
      <c r="F124" s="30" t="inlineStr">
        <is>
          <t>Indian</t>
        </is>
      </c>
      <c r="G124" s="30" t="n">
        <v>2</v>
      </c>
      <c r="H124" s="30" t="inlineStr">
        <is>
          <t>Banpurwa</t>
        </is>
      </c>
      <c r="I124" s="30" t="inlineStr">
        <is>
          <t>8081032207</t>
        </is>
      </c>
      <c r="J124" s="30" t="inlineStr">
        <is>
          <t>Kanpur</t>
        </is>
      </c>
      <c r="K124" s="30" t="inlineStr">
        <is>
          <t>Kanpur</t>
        </is>
      </c>
      <c r="L124" s="30" t="inlineStr">
        <is>
          <t>Visit</t>
        </is>
      </c>
      <c r="M124" s="30" t="inlineStr">
        <is>
          <t>14/1/25 2:10pm</t>
        </is>
      </c>
      <c r="N124" s="30" t="inlineStr">
        <is>
          <t>14/1/25 5:20pm</t>
        </is>
      </c>
      <c r="O124" s="30" t="inlineStr">
        <is>
          <t>202</t>
        </is>
      </c>
    </row>
    <row r="125">
      <c r="A125" s="30" t="n">
        <v>11</v>
      </c>
      <c r="B125" s="30" t="n">
        <v>121</v>
      </c>
      <c r="C125" s="30" t="inlineStr">
        <is>
          <t>Nikhil / Shikha</t>
        </is>
      </c>
      <c r="D125" s="30" t="inlineStr">
        <is>
          <t>22</t>
        </is>
      </c>
      <c r="E125" s="30" t="inlineStr">
        <is>
          <t>Friend</t>
        </is>
      </c>
      <c r="F125" s="30" t="inlineStr">
        <is>
          <t>Indian</t>
        </is>
      </c>
      <c r="G125" s="30" t="n">
        <v>2</v>
      </c>
      <c r="H125" s="30" t="inlineStr">
        <is>
          <t>Naubasta Kanpur</t>
        </is>
      </c>
      <c r="I125" s="30" t="inlineStr">
        <is>
          <t>7309064199</t>
        </is>
      </c>
      <c r="J125" s="30" t="inlineStr">
        <is>
          <t>Kanpur</t>
        </is>
      </c>
      <c r="K125" s="30" t="inlineStr">
        <is>
          <t>Kanpur</t>
        </is>
      </c>
      <c r="L125" s="30" t="inlineStr">
        <is>
          <t>Visit</t>
        </is>
      </c>
      <c r="M125" s="30" t="inlineStr">
        <is>
          <t>15/1/25 11:25am</t>
        </is>
      </c>
      <c r="N125" s="30" t="inlineStr">
        <is>
          <t>15/1/25 2:17pm</t>
        </is>
      </c>
      <c r="O125" s="30" t="inlineStr">
        <is>
          <t>201</t>
        </is>
      </c>
    </row>
    <row r="126">
      <c r="A126" s="30" t="n">
        <v>11</v>
      </c>
      <c r="B126" s="30" t="n">
        <v>122</v>
      </c>
      <c r="C126" s="30" t="inlineStr">
        <is>
          <t>Vineet / Chandni</t>
        </is>
      </c>
      <c r="D126" s="30" t="inlineStr">
        <is>
          <t>25 / 20</t>
        </is>
      </c>
      <c r="E126" s="30" t="inlineStr">
        <is>
          <t>Friend</t>
        </is>
      </c>
      <c r="F126" s="30" t="inlineStr">
        <is>
          <t>Indian</t>
        </is>
      </c>
      <c r="G126" s="30" t="n">
        <v>2</v>
      </c>
      <c r="H126" s="30" t="inlineStr">
        <is>
          <t>K-727 Vishwa Bank, Kanpur</t>
        </is>
      </c>
      <c r="I126" s="30" t="inlineStr">
        <is>
          <t>8004837046</t>
        </is>
      </c>
      <c r="J126" s="30" t="inlineStr">
        <is>
          <t>Kanpur</t>
        </is>
      </c>
      <c r="K126" s="30" t="inlineStr">
        <is>
          <t>Kanpur</t>
        </is>
      </c>
      <c r="L126" s="30" t="inlineStr">
        <is>
          <t>Visit</t>
        </is>
      </c>
      <c r="M126" s="30" t="inlineStr">
        <is>
          <t>15/1/25 1:10pm</t>
        </is>
      </c>
      <c r="N126" s="30" t="inlineStr">
        <is>
          <t>15/1/25 2:17pm</t>
        </is>
      </c>
      <c r="O126" s="30" t="inlineStr">
        <is>
          <t>203</t>
        </is>
      </c>
    </row>
    <row r="127">
      <c r="A127" s="30" t="n">
        <v>11</v>
      </c>
      <c r="B127" s="30" t="n">
        <v>123</v>
      </c>
      <c r="C127" s="30" t="inlineStr">
        <is>
          <t>Abhay / Anjali</t>
        </is>
      </c>
      <c r="D127" s="30" t="inlineStr">
        <is>
          <t>20 / 21</t>
        </is>
      </c>
      <c r="E127" s="30" t="inlineStr">
        <is>
          <t>Friend</t>
        </is>
      </c>
      <c r="F127" s="30" t="inlineStr">
        <is>
          <t>Indian</t>
        </is>
      </c>
      <c r="G127" s="30" t="n">
        <v>2</v>
      </c>
      <c r="H127" s="30" t="inlineStr">
        <is>
          <t>-</t>
        </is>
      </c>
      <c r="I127" s="30" t="n"/>
      <c r="J127" s="30" t="inlineStr">
        <is>
          <t>Kanpur</t>
        </is>
      </c>
      <c r="K127" s="30" t="inlineStr">
        <is>
          <t>Kanpur</t>
        </is>
      </c>
      <c r="L127" s="30" t="inlineStr">
        <is>
          <t>Visit</t>
        </is>
      </c>
      <c r="M127" s="30" t="inlineStr">
        <is>
          <t>15/1/25 5:47pm</t>
        </is>
      </c>
      <c r="N127" s="30" t="inlineStr">
        <is>
          <t>15/1/25</t>
        </is>
      </c>
      <c r="O127" s="30" t="inlineStr">
        <is>
          <t>205</t>
        </is>
      </c>
    </row>
    <row r="128">
      <c r="A128" s="30" t="n">
        <v>11</v>
      </c>
      <c r="B128" s="30" t="n">
        <v>124</v>
      </c>
      <c r="C128" s="30" t="inlineStr">
        <is>
          <t>Sankalp / Arti</t>
        </is>
      </c>
      <c r="D128" s="30" t="inlineStr">
        <is>
          <t>24 / 20</t>
        </is>
      </c>
      <c r="E128" s="30" t="inlineStr">
        <is>
          <t>Friend</t>
        </is>
      </c>
      <c r="F128" s="30" t="inlineStr">
        <is>
          <t>Indian</t>
        </is>
      </c>
      <c r="G128" s="30" t="n">
        <v>2</v>
      </c>
      <c r="H128" s="30" t="inlineStr">
        <is>
          <t>Saket Nagar 127/587</t>
        </is>
      </c>
      <c r="I128" s="30" t="inlineStr">
        <is>
          <t>8467983268</t>
        </is>
      </c>
      <c r="J128" s="30" t="inlineStr">
        <is>
          <t>Kanpur</t>
        </is>
      </c>
      <c r="K128" s="30" t="inlineStr">
        <is>
          <t>Kanpur</t>
        </is>
      </c>
      <c r="L128" s="30" t="inlineStr">
        <is>
          <t>Visit</t>
        </is>
      </c>
      <c r="M128" s="30" t="inlineStr">
        <is>
          <t>16/1/25 1:10pm</t>
        </is>
      </c>
      <c r="N128" s="30" t="inlineStr">
        <is>
          <t>16/1/25 3:20pm</t>
        </is>
      </c>
      <c r="O128" s="30" t="inlineStr">
        <is>
          <t>204</t>
        </is>
      </c>
    </row>
    <row r="129">
      <c r="A129" s="30" t="n">
        <v>11</v>
      </c>
      <c r="B129" s="30" t="n">
        <v>125</v>
      </c>
      <c r="C129" s="30" t="inlineStr">
        <is>
          <t>Amit Pal / Nidhi Rajput</t>
        </is>
      </c>
      <c r="D129" s="30" t="inlineStr">
        <is>
          <t>23 / 27</t>
        </is>
      </c>
      <c r="E129" s="30" t="inlineStr">
        <is>
          <t>Friend</t>
        </is>
      </c>
      <c r="F129" s="30" t="inlineStr">
        <is>
          <t>Indian (IDs 227228223457, 899278446102)</t>
        </is>
      </c>
      <c r="G129" s="30" t="n">
        <v>2</v>
      </c>
      <c r="H129" s="30" t="inlineStr">
        <is>
          <t>56K Dabauli, Saket Nagar 127/292</t>
        </is>
      </c>
      <c r="I129" s="30" t="inlineStr">
        <is>
          <t>7786071230</t>
        </is>
      </c>
      <c r="J129" s="30" t="inlineStr">
        <is>
          <t>Kanpur</t>
        </is>
      </c>
      <c r="K129" s="30" t="inlineStr">
        <is>
          <t>Kanpur</t>
        </is>
      </c>
      <c r="L129" s="30" t="inlineStr">
        <is>
          <t>Visit</t>
        </is>
      </c>
      <c r="M129" s="30" t="inlineStr">
        <is>
          <t>16/1/25 6:19pm</t>
        </is>
      </c>
      <c r="N129" s="30" t="inlineStr">
        <is>
          <t>17/1/25 12:30am</t>
        </is>
      </c>
      <c r="O129" s="30" t="inlineStr">
        <is>
          <t>205</t>
        </is>
      </c>
    </row>
    <row r="130">
      <c r="A130" s="30" t="n">
        <v>11</v>
      </c>
      <c r="B130" s="30" t="n">
        <v>126</v>
      </c>
      <c r="C130" s="30" t="inlineStr">
        <is>
          <t>Ashu Pal / Sonam Pal</t>
        </is>
      </c>
      <c r="D130" s="30" t="inlineStr">
        <is>
          <t>19 / 19</t>
        </is>
      </c>
      <c r="E130" s="30" t="inlineStr">
        <is>
          <t>Friend</t>
        </is>
      </c>
      <c r="F130" s="30" t="inlineStr">
        <is>
          <t>Indian (IDs 510923029904, 641172228827)</t>
        </is>
      </c>
      <c r="G130" s="30" t="n">
        <v>2</v>
      </c>
      <c r="H130" s="30" t="inlineStr">
        <is>
          <t>Karauna Kanpur / Faizullapur Umar</t>
        </is>
      </c>
      <c r="I130" s="30" t="inlineStr">
        <is>
          <t>7318168897</t>
        </is>
      </c>
      <c r="J130" s="30" t="inlineStr">
        <is>
          <t>Kanpur</t>
        </is>
      </c>
      <c r="K130" s="30" t="inlineStr">
        <is>
          <t>Kanpur</t>
        </is>
      </c>
      <c r="L130" s="30" t="inlineStr">
        <is>
          <t>Visit</t>
        </is>
      </c>
      <c r="M130" s="30" t="inlineStr">
        <is>
          <t>17/1/25 10:30am</t>
        </is>
      </c>
      <c r="N130" s="30" t="inlineStr">
        <is>
          <t>17/1/25 4:30pm</t>
        </is>
      </c>
      <c r="O130" s="30" t="inlineStr">
        <is>
          <t>203</t>
        </is>
      </c>
    </row>
    <row r="131">
      <c r="A131" s="30" t="n">
        <v>11</v>
      </c>
      <c r="B131" s="30" t="n">
        <v>127</v>
      </c>
      <c r="C131" s="30" t="inlineStr">
        <is>
          <t>Alok Tiwari / Arti Savita</t>
        </is>
      </c>
      <c r="D131" s="30" t="inlineStr">
        <is>
          <t>19 / 20</t>
        </is>
      </c>
      <c r="E131" s="30" t="inlineStr">
        <is>
          <t>Friend</t>
        </is>
      </c>
      <c r="F131" s="30" t="inlineStr">
        <is>
          <t>Indian (IDs 869854011974, 245808476904)</t>
        </is>
      </c>
      <c r="G131" s="30" t="n">
        <v>2</v>
      </c>
      <c r="H131" s="30" t="inlineStr">
        <is>
          <t>133 Dabauli Kanpur</t>
        </is>
      </c>
      <c r="I131" s="30" t="inlineStr">
        <is>
          <t>7080956577</t>
        </is>
      </c>
      <c r="J131" s="30" t="inlineStr">
        <is>
          <t>Kanpur</t>
        </is>
      </c>
      <c r="K131" s="30" t="inlineStr">
        <is>
          <t>Kanpur</t>
        </is>
      </c>
      <c r="L131" s="30" t="inlineStr">
        <is>
          <t>Visit</t>
        </is>
      </c>
      <c r="M131" s="30" t="inlineStr">
        <is>
          <t>18/1/25 12:01pm</t>
        </is>
      </c>
      <c r="N131" s="30" t="inlineStr">
        <is>
          <t>18/1/25</t>
        </is>
      </c>
      <c r="O131" s="30" t="inlineStr">
        <is>
          <t>203</t>
        </is>
      </c>
    </row>
    <row r="132">
      <c r="A132" s="30" t="n">
        <v>11</v>
      </c>
      <c r="B132" s="30" t="n">
        <v>128</v>
      </c>
      <c r="C132" s="30" t="inlineStr">
        <is>
          <t>Naitik Sharma / Aarti Prajapati</t>
        </is>
      </c>
      <c r="D132" s="30" t="inlineStr">
        <is>
          <t>23 / 21</t>
        </is>
      </c>
      <c r="E132" s="30" t="inlineStr">
        <is>
          <t>Friend</t>
        </is>
      </c>
      <c r="F132" s="30" t="inlineStr">
        <is>
          <t>Indian (IDs 426777347831, 450367271649)</t>
        </is>
      </c>
      <c r="G132" s="30" t="n">
        <v>2</v>
      </c>
      <c r="H132" s="30" t="inlineStr">
        <is>
          <t>175/2 Sanjay Nagar, Gandhi Nagar, Kanpur</t>
        </is>
      </c>
      <c r="I132" s="30" t="inlineStr">
        <is>
          <t>8429360908</t>
        </is>
      </c>
      <c r="J132" s="30" t="inlineStr">
        <is>
          <t>Kanpur</t>
        </is>
      </c>
      <c r="K132" s="30" t="inlineStr">
        <is>
          <t>Kanpur</t>
        </is>
      </c>
      <c r="L132" s="30" t="inlineStr">
        <is>
          <t>Visit</t>
        </is>
      </c>
      <c r="M132" s="30" t="inlineStr">
        <is>
          <t>19/1/25</t>
        </is>
      </c>
      <c r="N132" s="30" t="inlineStr">
        <is>
          <t>19/1/25</t>
        </is>
      </c>
      <c r="O132" s="30" t="inlineStr">
        <is>
          <t>202</t>
        </is>
      </c>
    </row>
    <row r="133">
      <c r="A133" s="30" t="n">
        <v>11</v>
      </c>
      <c r="B133" s="30" t="n">
        <v>129</v>
      </c>
      <c r="C133" s="30" t="inlineStr">
        <is>
          <t>Tanu Kumari</t>
        </is>
      </c>
      <c r="D133" s="30" t="inlineStr">
        <is>
          <t>18</t>
        </is>
      </c>
      <c r="E133" s="30" t="inlineStr">
        <is>
          <t>Friend/Family</t>
        </is>
      </c>
      <c r="F133" s="30" t="inlineStr">
        <is>
          <t>Indian (ID 681547781648)</t>
        </is>
      </c>
      <c r="G133" s="30" t="n">
        <v>2</v>
      </c>
      <c r="H133" s="30" t="inlineStr">
        <is>
          <t>Kaindha, Kanpur</t>
        </is>
      </c>
      <c r="I133" s="30" t="inlineStr">
        <is>
          <t>7897617417</t>
        </is>
      </c>
      <c r="J133" s="30" t="inlineStr">
        <is>
          <t>Kanpur</t>
        </is>
      </c>
      <c r="K133" s="30" t="inlineStr">
        <is>
          <t>Kanpur</t>
        </is>
      </c>
      <c r="L133" s="30" t="inlineStr">
        <is>
          <t>Visit</t>
        </is>
      </c>
      <c r="M133" s="30" t="inlineStr">
        <is>
          <t>22/1/25 3:30pm</t>
        </is>
      </c>
      <c r="N133" s="30" t="inlineStr">
        <is>
          <t>22/1/25</t>
        </is>
      </c>
      <c r="O133" s="30" t="n"/>
    </row>
    <row r="134">
      <c r="A134" s="30" t="n">
        <v>11</v>
      </c>
      <c r="B134" s="30" t="n">
        <v>130</v>
      </c>
      <c r="C134" s="30" t="inlineStr">
        <is>
          <t>Abhishek / Nainshi (Hindi)</t>
        </is>
      </c>
      <c r="D134" s="30" t="inlineStr">
        <is>
          <t>21</t>
        </is>
      </c>
      <c r="E134" s="30" t="inlineStr">
        <is>
          <t>Family</t>
        </is>
      </c>
      <c r="F134" s="30" t="inlineStr">
        <is>
          <t>Indian (IDs 970055148941, 939766477596)</t>
        </is>
      </c>
      <c r="G134" s="30" t="n">
        <v>2</v>
      </c>
      <c r="H134" s="30" t="inlineStr">
        <is>
          <t>Panki (Hindi)</t>
        </is>
      </c>
      <c r="I134" s="30" t="inlineStr">
        <is>
          <t>8707450272 / 6388592017</t>
        </is>
      </c>
      <c r="J134" s="30" t="inlineStr">
        <is>
          <t>Kanpur</t>
        </is>
      </c>
      <c r="K134" s="30" t="inlineStr">
        <is>
          <t>Kanpur</t>
        </is>
      </c>
      <c r="L134" s="30" t="inlineStr">
        <is>
          <t>Visit</t>
        </is>
      </c>
      <c r="M134" s="30" t="inlineStr">
        <is>
          <t>22/1/25 10:00pm</t>
        </is>
      </c>
      <c r="N134" s="30" t="inlineStr">
        <is>
          <t>23/1/25</t>
        </is>
      </c>
      <c r="O134" s="30" t="n"/>
    </row>
    <row r="135">
      <c r="A135" s="30" t="n">
        <v>11</v>
      </c>
      <c r="B135" s="30" t="n">
        <v>131</v>
      </c>
      <c r="C135" s="30" t="inlineStr">
        <is>
          <t>Aditya Kumar / Saloni (Hindi)</t>
        </is>
      </c>
      <c r="D135" s="30" t="inlineStr">
        <is>
          <t>25 / 22</t>
        </is>
      </c>
      <c r="E135" s="30" t="inlineStr">
        <is>
          <t>Friend</t>
        </is>
      </c>
      <c r="F135" s="30" t="inlineStr">
        <is>
          <t>Indian (IDs 980063460054, 592904123095, 917706705834)</t>
        </is>
      </c>
      <c r="G135" s="30" t="n">
        <v>2</v>
      </c>
      <c r="H135" s="30" t="inlineStr">
        <is>
          <t>-</t>
        </is>
      </c>
      <c r="I135" s="30" t="n"/>
      <c r="J135" s="30" t="inlineStr">
        <is>
          <t>Kanpur</t>
        </is>
      </c>
      <c r="K135" s="30" t="inlineStr">
        <is>
          <t>Kanpur</t>
        </is>
      </c>
      <c r="L135" s="30" t="inlineStr">
        <is>
          <t>Visit</t>
        </is>
      </c>
      <c r="M135" s="30" t="n"/>
      <c r="N135" s="30" t="n"/>
      <c r="O135" s="30" t="n"/>
    </row>
    <row r="136">
      <c r="A136" s="30" t="n">
        <v>11</v>
      </c>
      <c r="B136" s="30" t="n">
        <v>132</v>
      </c>
      <c r="C136" s="30" t="inlineStr">
        <is>
          <t>Abhay / Anjali</t>
        </is>
      </c>
      <c r="D136" s="30" t="inlineStr">
        <is>
          <t>20 / 20</t>
        </is>
      </c>
      <c r="E136" s="30" t="inlineStr">
        <is>
          <t>Friend</t>
        </is>
      </c>
      <c r="F136" s="30" t="inlineStr">
        <is>
          <t>Indian (IDs 309719208445, 501274126550)</t>
        </is>
      </c>
      <c r="G136" s="30" t="n">
        <v>2</v>
      </c>
      <c r="H136" s="30" t="inlineStr">
        <is>
          <t>Dwivedi Nagar, Naubasta, Kanpur</t>
        </is>
      </c>
      <c r="I136" s="30" t="inlineStr">
        <is>
          <t>9696972862</t>
        </is>
      </c>
      <c r="J136" s="30" t="inlineStr">
        <is>
          <t>Kanpur</t>
        </is>
      </c>
      <c r="K136" s="30" t="inlineStr">
        <is>
          <t>Kanpur</t>
        </is>
      </c>
      <c r="L136" s="30" t="inlineStr">
        <is>
          <t>Visit</t>
        </is>
      </c>
      <c r="M136" s="30" t="inlineStr">
        <is>
          <t>23/1/25</t>
        </is>
      </c>
      <c r="N136" s="30" t="inlineStr">
        <is>
          <t>23/1/25</t>
        </is>
      </c>
      <c r="O136" s="30" t="n"/>
    </row>
    <row r="137">
      <c r="A137" s="30" t="n">
        <v>12</v>
      </c>
      <c r="B137" s="30" t="n">
        <v>133</v>
      </c>
      <c r="C137" s="30" t="inlineStr">
        <is>
          <t>Aditya Sahu</t>
        </is>
      </c>
      <c r="D137" s="30" t="inlineStr">
        <is>
          <t>30</t>
        </is>
      </c>
      <c r="E137" s="30" t="inlineStr">
        <is>
          <t>Friend</t>
        </is>
      </c>
      <c r="F137" s="30" t="inlineStr">
        <is>
          <t>Indian (ID 617989404989)</t>
        </is>
      </c>
      <c r="G137" s="30" t="n">
        <v>2</v>
      </c>
      <c r="H137" s="30" t="inlineStr">
        <is>
          <t>K-49 World Bank Barra Kanpur</t>
        </is>
      </c>
      <c r="I137" s="30" t="inlineStr">
        <is>
          <t>8112878912</t>
        </is>
      </c>
      <c r="J137" s="30" t="inlineStr">
        <is>
          <t>Kanpur</t>
        </is>
      </c>
      <c r="K137" s="30" t="inlineStr">
        <is>
          <t>Kanpur</t>
        </is>
      </c>
      <c r="L137" s="30" t="inlineStr">
        <is>
          <t>Visit</t>
        </is>
      </c>
      <c r="M137" s="30" t="inlineStr">
        <is>
          <t>23/1/25 10:13pm</t>
        </is>
      </c>
      <c r="N137" s="30" t="inlineStr">
        <is>
          <t>24/1/25 9:10am</t>
        </is>
      </c>
      <c r="O137" s="30" t="inlineStr">
        <is>
          <t>205</t>
        </is>
      </c>
    </row>
    <row r="138">
      <c r="A138" s="30" t="n">
        <v>12</v>
      </c>
      <c r="B138" s="30" t="n">
        <v>134</v>
      </c>
      <c r="C138" s="30" t="inlineStr">
        <is>
          <t>Deepu Sonwani / Parul Yadav</t>
        </is>
      </c>
      <c r="D138" s="30" t="inlineStr">
        <is>
          <t>21 / 22</t>
        </is>
      </c>
      <c r="E138" s="30" t="inlineStr">
        <is>
          <t>Friend</t>
        </is>
      </c>
      <c r="F138" s="30" t="inlineStr">
        <is>
          <t>Indian (IDs 233818637967, 820193843647)</t>
        </is>
      </c>
      <c r="G138" s="30" t="n">
        <v>2</v>
      </c>
      <c r="H138" s="30" t="inlineStr">
        <is>
          <t>Barra-2, Kanpur</t>
        </is>
      </c>
      <c r="I138" s="30" t="inlineStr">
        <is>
          <t>6394010145</t>
        </is>
      </c>
      <c r="J138" s="30" t="inlineStr">
        <is>
          <t>Kanpur</t>
        </is>
      </c>
      <c r="K138" s="30" t="inlineStr">
        <is>
          <t>Kanpur</t>
        </is>
      </c>
      <c r="L138" s="30" t="inlineStr">
        <is>
          <t>Visit</t>
        </is>
      </c>
      <c r="M138" s="30" t="inlineStr">
        <is>
          <t>24/1/25</t>
        </is>
      </c>
      <c r="N138" s="30" t="inlineStr">
        <is>
          <t>24/1/25</t>
        </is>
      </c>
      <c r="O138" s="30" t="inlineStr">
        <is>
          <t>203</t>
        </is>
      </c>
    </row>
    <row r="139">
      <c r="A139" s="30" t="n">
        <v>12</v>
      </c>
      <c r="B139" s="30" t="n">
        <v>135</v>
      </c>
      <c r="C139" s="30" t="inlineStr">
        <is>
          <t>Aditya Sahu / Ritu Raikwar</t>
        </is>
      </c>
      <c r="D139" s="30" t="inlineStr">
        <is>
          <t>30 / 24</t>
        </is>
      </c>
      <c r="E139" s="30" t="inlineStr">
        <is>
          <t>Friend</t>
        </is>
      </c>
      <c r="F139" s="30" t="inlineStr">
        <is>
          <t>Indian (IDs 617989404989, 397966428866)</t>
        </is>
      </c>
      <c r="G139" s="30" t="n">
        <v>2</v>
      </c>
      <c r="H139" s="30" t="inlineStr">
        <is>
          <t>K-49 World Bank Barra, Kanpur</t>
        </is>
      </c>
      <c r="I139" s="30" t="inlineStr">
        <is>
          <t>9044133973</t>
        </is>
      </c>
      <c r="J139" s="30" t="inlineStr">
        <is>
          <t>Kanpur</t>
        </is>
      </c>
      <c r="K139" s="30" t="inlineStr">
        <is>
          <t>Kanpur</t>
        </is>
      </c>
      <c r="L139" s="30" t="inlineStr">
        <is>
          <t>Visit</t>
        </is>
      </c>
      <c r="M139" s="30" t="inlineStr">
        <is>
          <t>25/1/25</t>
        </is>
      </c>
      <c r="N139" s="30" t="inlineStr">
        <is>
          <t>25/1/25</t>
        </is>
      </c>
      <c r="O139" s="30" t="inlineStr">
        <is>
          <t>202</t>
        </is>
      </c>
    </row>
    <row r="140">
      <c r="A140" s="30" t="n">
        <v>12</v>
      </c>
      <c r="B140" s="30" t="n">
        <v>136</v>
      </c>
      <c r="C140" s="30" t="inlineStr">
        <is>
          <t>Aryan Chauhan / Vartika Mishra</t>
        </is>
      </c>
      <c r="D140" s="30" t="inlineStr">
        <is>
          <t>19 / 18</t>
        </is>
      </c>
      <c r="E140" s="30" t="inlineStr">
        <is>
          <t>Friend</t>
        </is>
      </c>
      <c r="F140" s="30" t="inlineStr">
        <is>
          <t>Indian (IDs 756887546307, 731384608814)</t>
        </is>
      </c>
      <c r="G140" s="30" t="n">
        <v>2</v>
      </c>
      <c r="H140" s="30" t="inlineStr">
        <is>
          <t>Hemant Vihar, Barra-2, World Bank Colony, Kanpur</t>
        </is>
      </c>
      <c r="I140" s="30" t="inlineStr">
        <is>
          <t>7398317077</t>
        </is>
      </c>
      <c r="J140" s="30" t="inlineStr">
        <is>
          <t>Kanpur</t>
        </is>
      </c>
      <c r="K140" s="30" t="inlineStr">
        <is>
          <t>Kanpur</t>
        </is>
      </c>
      <c r="L140" s="30" t="inlineStr">
        <is>
          <t>Visit</t>
        </is>
      </c>
      <c r="M140" s="30" t="inlineStr">
        <is>
          <t>25/1/25 4:33pm</t>
        </is>
      </c>
      <c r="N140" s="30" t="inlineStr">
        <is>
          <t>25/1/25 6:23pm</t>
        </is>
      </c>
      <c r="O140" s="30" t="inlineStr">
        <is>
          <t>203</t>
        </is>
      </c>
    </row>
    <row r="141">
      <c r="A141" s="30" t="n">
        <v>12</v>
      </c>
      <c r="B141" s="30" t="n">
        <v>137</v>
      </c>
      <c r="C141" s="30" t="inlineStr">
        <is>
          <t>Sharad Sharma / Meenu Kumari</t>
        </is>
      </c>
      <c r="D141" s="30" t="inlineStr">
        <is>
          <t>25 / 27</t>
        </is>
      </c>
      <c r="E141" s="30" t="inlineStr">
        <is>
          <t>Friend</t>
        </is>
      </c>
      <c r="F141" s="30" t="inlineStr">
        <is>
          <t>Indian (IDs 981449838180, 647148092236)</t>
        </is>
      </c>
      <c r="G141" s="30" t="n">
        <v>2</v>
      </c>
      <c r="H141" s="30" t="inlineStr">
        <is>
          <t>Yogendra Vihar, Khadepur, Nai Basti, Kanpur</t>
        </is>
      </c>
      <c r="I141" s="30" t="inlineStr">
        <is>
          <t>9305979081</t>
        </is>
      </c>
      <c r="J141" s="30" t="inlineStr">
        <is>
          <t>Kanpur</t>
        </is>
      </c>
      <c r="K141" s="30" t="inlineStr">
        <is>
          <t>Kanpur</t>
        </is>
      </c>
      <c r="L141" s="30" t="inlineStr">
        <is>
          <t>Visit</t>
        </is>
      </c>
      <c r="M141" s="30" t="inlineStr">
        <is>
          <t>26/1/25 11:29am</t>
        </is>
      </c>
      <c r="N141" s="30" t="inlineStr">
        <is>
          <t>26/1/25</t>
        </is>
      </c>
      <c r="O141" s="30" t="inlineStr">
        <is>
          <t>202</t>
        </is>
      </c>
    </row>
    <row r="142">
      <c r="A142" s="30" t="n">
        <v>12</v>
      </c>
      <c r="B142" s="30" t="n">
        <v>138</v>
      </c>
      <c r="C142" s="30" t="inlineStr">
        <is>
          <t>Harsh Thakur / Dolly</t>
        </is>
      </c>
      <c r="D142" s="30" t="inlineStr">
        <is>
          <t>20 / 21</t>
        </is>
      </c>
      <c r="E142" s="30" t="inlineStr">
        <is>
          <t>Friend</t>
        </is>
      </c>
      <c r="F142" s="30" t="inlineStr">
        <is>
          <t>India (ID 429655553846)</t>
        </is>
      </c>
      <c r="G142" s="30" t="n">
        <v>2</v>
      </c>
      <c r="H142" s="30" t="inlineStr">
        <is>
          <t>House No-51, Gyan Nagar, Kanpur Nagar</t>
        </is>
      </c>
      <c r="I142" s="30" t="inlineStr">
        <is>
          <t>6386994805</t>
        </is>
      </c>
      <c r="J142" s="30" t="inlineStr">
        <is>
          <t>Kanpur</t>
        </is>
      </c>
      <c r="K142" s="30" t="inlineStr">
        <is>
          <t>Kanpur</t>
        </is>
      </c>
      <c r="L142" s="30" t="inlineStr">
        <is>
          <t>Visit</t>
        </is>
      </c>
      <c r="M142" s="30" t="inlineStr">
        <is>
          <t>26/1/25 11:39am</t>
        </is>
      </c>
      <c r="N142" s="30" t="inlineStr">
        <is>
          <t>26/1/25</t>
        </is>
      </c>
      <c r="O142" s="30" t="inlineStr">
        <is>
          <t>204</t>
        </is>
      </c>
    </row>
    <row r="143">
      <c r="A143" s="30" t="n">
        <v>12</v>
      </c>
      <c r="B143" s="30" t="n">
        <v>139</v>
      </c>
      <c r="C143" s="30" t="inlineStr">
        <is>
          <t>Arun Gupta / Anchal Rathore</t>
        </is>
      </c>
      <c r="D143" s="30" t="inlineStr">
        <is>
          <t>28 / 22</t>
        </is>
      </c>
      <c r="E143" s="30" t="inlineStr">
        <is>
          <t>Friend</t>
        </is>
      </c>
      <c r="F143" s="30" t="inlineStr">
        <is>
          <t>Indian (IDs 245852455205, 519188166281)</t>
        </is>
      </c>
      <c r="G143" s="30" t="n">
        <v>2</v>
      </c>
      <c r="H143" s="30" t="inlineStr">
        <is>
          <t>Barra-2, Kanpur</t>
        </is>
      </c>
      <c r="I143" s="30" t="inlineStr">
        <is>
          <t>6392523738</t>
        </is>
      </c>
      <c r="J143" s="30" t="inlineStr">
        <is>
          <t>Kanpur</t>
        </is>
      </c>
      <c r="K143" s="30" t="inlineStr">
        <is>
          <t>Kanpur</t>
        </is>
      </c>
      <c r="L143" s="30" t="inlineStr">
        <is>
          <t>Visit</t>
        </is>
      </c>
      <c r="M143" s="30" t="inlineStr">
        <is>
          <t>26/1/25 11:57am</t>
        </is>
      </c>
      <c r="N143" s="30" t="inlineStr">
        <is>
          <t>26/1/25</t>
        </is>
      </c>
      <c r="O143" s="30" t="inlineStr">
        <is>
          <t>203</t>
        </is>
      </c>
    </row>
    <row r="144">
      <c r="A144" s="30" t="n">
        <v>12</v>
      </c>
      <c r="B144" s="30" t="n">
        <v>140</v>
      </c>
      <c r="C144" s="30" t="inlineStr">
        <is>
          <t>Divyansh Sukla / Ananya Misra</t>
        </is>
      </c>
      <c r="D144" s="30" t="inlineStr">
        <is>
          <t>19 / 18</t>
        </is>
      </c>
      <c r="E144" s="30" t="inlineStr">
        <is>
          <t>Friend</t>
        </is>
      </c>
      <c r="F144" s="30" t="inlineStr">
        <is>
          <t>Indian (IDs 640217140259, 453761304614)</t>
        </is>
      </c>
      <c r="G144" s="30" t="n">
        <v>2</v>
      </c>
      <c r="H144" s="30" t="inlineStr">
        <is>
          <t>1B/642 Awas Vikas, Hanspuram, Kanpur</t>
        </is>
      </c>
      <c r="I144" s="30" t="inlineStr">
        <is>
          <t>9554346863</t>
        </is>
      </c>
      <c r="J144" s="30" t="inlineStr">
        <is>
          <t>Kanpur</t>
        </is>
      </c>
      <c r="K144" s="30" t="inlineStr">
        <is>
          <t>Kanpur</t>
        </is>
      </c>
      <c r="L144" s="30" t="inlineStr">
        <is>
          <t>Visit</t>
        </is>
      </c>
      <c r="M144" s="30" t="inlineStr">
        <is>
          <t>27/1/25 10:37am</t>
        </is>
      </c>
      <c r="N144" s="30" t="inlineStr">
        <is>
          <t>27/1/25 2:30pm</t>
        </is>
      </c>
      <c r="O144" s="30" t="inlineStr">
        <is>
          <t>203</t>
        </is>
      </c>
    </row>
    <row r="145">
      <c r="A145" s="30" t="n">
        <v>12</v>
      </c>
      <c r="B145" s="30" t="n">
        <v>141</v>
      </c>
      <c r="C145" s="30" t="inlineStr">
        <is>
          <t>Jeetu / Sakshi</t>
        </is>
      </c>
      <c r="D145" s="30" t="inlineStr">
        <is>
          <t>27 / 23</t>
        </is>
      </c>
      <c r="E145" s="30" t="inlineStr">
        <is>
          <t>Friend</t>
        </is>
      </c>
      <c r="F145" s="30" t="inlineStr">
        <is>
          <t>Indian (IDs 287988904246, 406947083208)</t>
        </is>
      </c>
      <c r="G145" s="30" t="n">
        <v>2</v>
      </c>
      <c r="H145" s="30" t="inlineStr">
        <is>
          <t>344 Barra Kanpur</t>
        </is>
      </c>
      <c r="I145" s="30" t="inlineStr">
        <is>
          <t>7619068199</t>
        </is>
      </c>
      <c r="J145" s="30" t="inlineStr">
        <is>
          <t>Kanpur</t>
        </is>
      </c>
      <c r="K145" s="30" t="inlineStr">
        <is>
          <t>Kanpur</t>
        </is>
      </c>
      <c r="L145" s="30" t="inlineStr">
        <is>
          <t>Visit</t>
        </is>
      </c>
      <c r="M145" s="30" t="inlineStr">
        <is>
          <t>28/1/25 10:30am</t>
        </is>
      </c>
      <c r="N145" s="30" t="inlineStr">
        <is>
          <t>28/1/25 4:03pm</t>
        </is>
      </c>
      <c r="O145" s="30" t="inlineStr">
        <is>
          <t>203</t>
        </is>
      </c>
    </row>
    <row r="146">
      <c r="A146" s="30" t="n">
        <v>12</v>
      </c>
      <c r="B146" s="30" t="n">
        <v>142</v>
      </c>
      <c r="C146" s="30" t="inlineStr">
        <is>
          <t>Sandeep / Sonali</t>
        </is>
      </c>
      <c r="D146" s="30" t="inlineStr">
        <is>
          <t>20 / 21</t>
        </is>
      </c>
      <c r="E146" s="30" t="inlineStr">
        <is>
          <t>Friend</t>
        </is>
      </c>
      <c r="F146" s="30" t="inlineStr">
        <is>
          <t>Indian</t>
        </is>
      </c>
      <c r="G146" s="30" t="n">
        <v>2</v>
      </c>
      <c r="H146" s="30" t="inlineStr">
        <is>
          <t>Naubasta Kanpur Nagar</t>
        </is>
      </c>
      <c r="I146" s="30" t="inlineStr">
        <is>
          <t>7524858837</t>
        </is>
      </c>
      <c r="J146" s="30" t="inlineStr">
        <is>
          <t>Kanpur</t>
        </is>
      </c>
      <c r="K146" s="30" t="inlineStr">
        <is>
          <t>Kanpur</t>
        </is>
      </c>
      <c r="L146" s="30" t="inlineStr">
        <is>
          <t>Visit</t>
        </is>
      </c>
      <c r="M146" s="30" t="inlineStr">
        <is>
          <t>28/1/25 11:05am</t>
        </is>
      </c>
      <c r="N146" s="30" t="inlineStr">
        <is>
          <t>28/1/25</t>
        </is>
      </c>
      <c r="O146" s="30" t="inlineStr">
        <is>
          <t>203</t>
        </is>
      </c>
    </row>
    <row r="147">
      <c r="A147" s="30" t="n">
        <v>12</v>
      </c>
      <c r="B147" s="30" t="n">
        <v>143</v>
      </c>
      <c r="C147" s="30" t="inlineStr">
        <is>
          <t>Yuvraj Singh / Shalu</t>
        </is>
      </c>
      <c r="D147" s="30" t="inlineStr">
        <is>
          <t>26 / 21</t>
        </is>
      </c>
      <c r="E147" s="30" t="inlineStr">
        <is>
          <t>Friend</t>
        </is>
      </c>
      <c r="F147" s="30" t="inlineStr">
        <is>
          <t>Indian (ID 915934034454)</t>
        </is>
      </c>
      <c r="G147" s="30" t="n">
        <v>2</v>
      </c>
      <c r="H147" s="30" t="inlineStr">
        <is>
          <t>Bhognipur Kanpur Dehat</t>
        </is>
      </c>
      <c r="I147" s="30" t="n"/>
      <c r="J147" s="30" t="inlineStr">
        <is>
          <t>Kanpur</t>
        </is>
      </c>
      <c r="K147" s="30" t="inlineStr">
        <is>
          <t>Kanpur</t>
        </is>
      </c>
      <c r="L147" s="30" t="inlineStr">
        <is>
          <t>Visit</t>
        </is>
      </c>
      <c r="M147" s="30" t="inlineStr">
        <is>
          <t>28/1/25 2:00pm</t>
        </is>
      </c>
      <c r="N147" s="30" t="inlineStr">
        <is>
          <t>28/1/25</t>
        </is>
      </c>
      <c r="O147" s="30" t="inlineStr">
        <is>
          <t>204</t>
        </is>
      </c>
    </row>
    <row r="148">
      <c r="A148" s="30" t="n">
        <v>12</v>
      </c>
      <c r="B148" s="30" t="n">
        <v>144</v>
      </c>
      <c r="C148" s="30" t="inlineStr">
        <is>
          <t>Rahul Kumar / Deepa Ahirwar / Jyoti Kumar</t>
        </is>
      </c>
      <c r="D148" s="30" t="n"/>
      <c r="E148" s="30" t="inlineStr">
        <is>
          <t>Family</t>
        </is>
      </c>
      <c r="F148" s="30" t="inlineStr">
        <is>
          <t>Indian (IDs 307821285336, 954186506453)</t>
        </is>
      </c>
      <c r="G148" s="30" t="n">
        <v>3</v>
      </c>
      <c r="H148" s="30" t="inlineStr">
        <is>
          <t>175/2 Sanjay Gandhi Nagar</t>
        </is>
      </c>
      <c r="I148" s="30" t="inlineStr">
        <is>
          <t>8429360908</t>
        </is>
      </c>
      <c r="J148" s="30" t="inlineStr">
        <is>
          <t>Kanpur</t>
        </is>
      </c>
      <c r="K148" s="30" t="inlineStr">
        <is>
          <t>Kanpur</t>
        </is>
      </c>
      <c r="L148" s="30" t="inlineStr">
        <is>
          <t>Visit</t>
        </is>
      </c>
      <c r="M148" s="30" t="inlineStr">
        <is>
          <t>29/1/25 10:09am</t>
        </is>
      </c>
      <c r="N148" s="30" t="inlineStr">
        <is>
          <t>29/1/25</t>
        </is>
      </c>
      <c r="O148" s="30" t="inlineStr">
        <is>
          <t>205</t>
        </is>
      </c>
    </row>
    <row r="149">
      <c r="A149" s="30" t="n">
        <v>13</v>
      </c>
      <c r="B149" s="30" t="n">
        <v>145</v>
      </c>
      <c r="C149" s="30" t="inlineStr">
        <is>
          <t>Arun / Puja</t>
        </is>
      </c>
      <c r="D149" s="30" t="inlineStr">
        <is>
          <t>20</t>
        </is>
      </c>
      <c r="E149" s="30" t="inlineStr">
        <is>
          <t>Family</t>
        </is>
      </c>
      <c r="F149" s="30" t="inlineStr">
        <is>
          <t>Indian</t>
        </is>
      </c>
      <c r="G149" s="30" t="n">
        <v>2</v>
      </c>
      <c r="H149" s="30" t="inlineStr">
        <is>
          <t>Kachchi Basti, Ramgopal Chauraha, Varun Vihar</t>
        </is>
      </c>
      <c r="I149" s="30" t="inlineStr">
        <is>
          <t>6307518932</t>
        </is>
      </c>
      <c r="J149" s="30" t="inlineStr">
        <is>
          <t>Kanpur</t>
        </is>
      </c>
      <c r="K149" s="30" t="inlineStr">
        <is>
          <t>Kanpur</t>
        </is>
      </c>
      <c r="L149" s="30" t="inlineStr">
        <is>
          <t>Visit</t>
        </is>
      </c>
      <c r="M149" s="30" t="inlineStr">
        <is>
          <t>29/1/25 10:56am</t>
        </is>
      </c>
      <c r="N149" s="30" t="inlineStr">
        <is>
          <t>29/1/25</t>
        </is>
      </c>
      <c r="O149" s="30" t="inlineStr">
        <is>
          <t>205</t>
        </is>
      </c>
    </row>
    <row r="150">
      <c r="A150" s="30" t="n">
        <v>13</v>
      </c>
      <c r="B150" s="30" t="n">
        <v>146</v>
      </c>
      <c r="C150" s="30" t="inlineStr">
        <is>
          <t>Ansu / Sumita</t>
        </is>
      </c>
      <c r="D150" s="30" t="inlineStr">
        <is>
          <t>20 / 19</t>
        </is>
      </c>
      <c r="E150" s="30" t="inlineStr">
        <is>
          <t>Friend</t>
        </is>
      </c>
      <c r="F150" s="30" t="inlineStr">
        <is>
          <t>Indian (ID 350794942624)</t>
        </is>
      </c>
      <c r="G150" s="30" t="n">
        <v>2</v>
      </c>
      <c r="H150" s="30" t="inlineStr">
        <is>
          <t>Banpurwa</t>
        </is>
      </c>
      <c r="I150" s="31" t="inlineStr">
        <is>
          <t>VERIFY 9299297500</t>
        </is>
      </c>
      <c r="J150" s="30" t="inlineStr">
        <is>
          <t>Kanpur</t>
        </is>
      </c>
      <c r="K150" s="30" t="inlineStr">
        <is>
          <t>Kanpur</t>
        </is>
      </c>
      <c r="L150" s="30" t="inlineStr">
        <is>
          <t>Visit</t>
        </is>
      </c>
      <c r="M150" s="30" t="inlineStr">
        <is>
          <t>30/1/25 11:29am</t>
        </is>
      </c>
      <c r="N150" s="30" t="inlineStr">
        <is>
          <t>30/1/25 1:30pm</t>
        </is>
      </c>
      <c r="O150" s="30" t="inlineStr">
        <is>
          <t>204</t>
        </is>
      </c>
    </row>
    <row r="151">
      <c r="A151" s="30" t="n">
        <v>13</v>
      </c>
      <c r="B151" s="30" t="n">
        <v>147</v>
      </c>
      <c r="C151" s="30" t="inlineStr">
        <is>
          <t>Alok Tiwari / Puja</t>
        </is>
      </c>
      <c r="D151" s="30" t="inlineStr">
        <is>
          <t>19 / 20</t>
        </is>
      </c>
      <c r="E151" s="30" t="inlineStr">
        <is>
          <t>Friend</t>
        </is>
      </c>
      <c r="F151" s="30" t="inlineStr">
        <is>
          <t>Indian</t>
        </is>
      </c>
      <c r="G151" s="30" t="n">
        <v>2</v>
      </c>
      <c r="H151" s="30" t="inlineStr">
        <is>
          <t>Mini LIG 133 Dabauli</t>
        </is>
      </c>
      <c r="I151" s="30" t="inlineStr">
        <is>
          <t>7080950171</t>
        </is>
      </c>
      <c r="J151" s="30" t="inlineStr">
        <is>
          <t>Kanpur</t>
        </is>
      </c>
      <c r="K151" s="30" t="inlineStr">
        <is>
          <t>Kanpur</t>
        </is>
      </c>
      <c r="L151" s="30" t="inlineStr">
        <is>
          <t>Visit</t>
        </is>
      </c>
      <c r="M151" s="30" t="inlineStr">
        <is>
          <t>30/1/25 2:12pm</t>
        </is>
      </c>
      <c r="N151" s="30" t="inlineStr">
        <is>
          <t>30/1/25 5:20pm</t>
        </is>
      </c>
      <c r="O151" s="30" t="inlineStr">
        <is>
          <t>205</t>
        </is>
      </c>
    </row>
    <row r="152">
      <c r="A152" s="30" t="n">
        <v>13</v>
      </c>
      <c r="B152" s="30" t="n">
        <v>148</v>
      </c>
      <c r="C152" s="30" t="inlineStr">
        <is>
          <t>Aditya / Sanjna</t>
        </is>
      </c>
      <c r="D152" s="30" t="inlineStr">
        <is>
          <t>20 / 19</t>
        </is>
      </c>
      <c r="E152" s="30" t="inlineStr">
        <is>
          <t>Friend</t>
        </is>
      </c>
      <c r="F152" s="30" t="inlineStr">
        <is>
          <t>Indian (ID 870173978032)</t>
        </is>
      </c>
      <c r="G152" s="30" t="n">
        <v>2</v>
      </c>
      <c r="H152" s="30" t="inlineStr">
        <is>
          <t>Awas Vikas Kanpur</t>
        </is>
      </c>
      <c r="I152" s="31" t="inlineStr">
        <is>
          <t>VERIFY 8115175857</t>
        </is>
      </c>
      <c r="J152" s="30" t="inlineStr">
        <is>
          <t>Kanpur</t>
        </is>
      </c>
      <c r="K152" s="30" t="inlineStr">
        <is>
          <t>Kanpur</t>
        </is>
      </c>
      <c r="L152" s="30" t="inlineStr">
        <is>
          <t>Visit</t>
        </is>
      </c>
      <c r="M152" s="30" t="inlineStr">
        <is>
          <t>31/1/25 1:08pm</t>
        </is>
      </c>
      <c r="N152" s="30" t="inlineStr">
        <is>
          <t>31/1/25 2:30pm</t>
        </is>
      </c>
      <c r="O152" s="30" t="inlineStr">
        <is>
          <t>202</t>
        </is>
      </c>
    </row>
    <row r="153">
      <c r="A153" s="30" t="n">
        <v>13</v>
      </c>
      <c r="B153" s="30" t="n">
        <v>149</v>
      </c>
      <c r="C153" s="30" t="inlineStr">
        <is>
          <t>Abhay / Anjali</t>
        </is>
      </c>
      <c r="D153" s="30" t="inlineStr">
        <is>
          <t>20 / 20</t>
        </is>
      </c>
      <c r="E153" s="30" t="inlineStr">
        <is>
          <t>Friend</t>
        </is>
      </c>
      <c r="F153" s="30" t="inlineStr">
        <is>
          <t>Indian</t>
        </is>
      </c>
      <c r="G153" s="30" t="n">
        <v>2</v>
      </c>
      <c r="H153" s="30" t="inlineStr">
        <is>
          <t>Kidwai Nagar, Naubasta, Kanpur</t>
        </is>
      </c>
      <c r="I153" s="30" t="n"/>
      <c r="J153" s="30" t="inlineStr">
        <is>
          <t>Kanpur</t>
        </is>
      </c>
      <c r="K153" s="30" t="inlineStr">
        <is>
          <t>Kanpur</t>
        </is>
      </c>
      <c r="L153" s="30" t="inlineStr">
        <is>
          <t>Visit</t>
        </is>
      </c>
      <c r="M153" s="30" t="inlineStr">
        <is>
          <t>31/1/25 1:10pm</t>
        </is>
      </c>
      <c r="N153" s="30" t="inlineStr">
        <is>
          <t>31/1/25 2:10pm</t>
        </is>
      </c>
      <c r="O153" s="30" t="inlineStr">
        <is>
          <t>205</t>
        </is>
      </c>
    </row>
    <row r="154">
      <c r="A154" s="30" t="n">
        <v>13</v>
      </c>
      <c r="B154" s="30" t="n">
        <v>150</v>
      </c>
      <c r="C154" s="30" t="inlineStr">
        <is>
          <t>Shikhar</t>
        </is>
      </c>
      <c r="D154" s="30" t="inlineStr">
        <is>
          <t>25</t>
        </is>
      </c>
      <c r="E154" s="30" t="inlineStr">
        <is>
          <t>Friend</t>
        </is>
      </c>
      <c r="F154" s="30" t="inlineStr">
        <is>
          <t>Indian</t>
        </is>
      </c>
      <c r="G154" s="30" t="n">
        <v>2</v>
      </c>
      <c r="H154" s="30" t="inlineStr">
        <is>
          <t>Kidwai Nagar 128/A, Barradevi Kanpur</t>
        </is>
      </c>
      <c r="I154" s="30" t="n"/>
      <c r="J154" s="30" t="inlineStr">
        <is>
          <t>Kanpur</t>
        </is>
      </c>
      <c r="K154" s="30" t="inlineStr">
        <is>
          <t>Kanpur</t>
        </is>
      </c>
      <c r="L154" s="30" t="inlineStr">
        <is>
          <t>Visit</t>
        </is>
      </c>
      <c r="M154" s="30" t="inlineStr">
        <is>
          <t>31/1/25 2:10pm</t>
        </is>
      </c>
      <c r="N154" s="30" t="inlineStr">
        <is>
          <t>31/1/25 3:12pm</t>
        </is>
      </c>
      <c r="O154" s="30" t="inlineStr">
        <is>
          <t>202</t>
        </is>
      </c>
    </row>
    <row r="155">
      <c r="A155" s="30" t="n">
        <v>13</v>
      </c>
      <c r="B155" s="30" t="n">
        <v>151</v>
      </c>
      <c r="C155" s="30" t="inlineStr">
        <is>
          <t>Ankit / Puja</t>
        </is>
      </c>
      <c r="D155" s="30" t="inlineStr">
        <is>
          <t>21 / 20</t>
        </is>
      </c>
      <c r="E155" s="30" t="inlineStr">
        <is>
          <t>Friend</t>
        </is>
      </c>
      <c r="F155" s="30" t="inlineStr">
        <is>
          <t>Indian (IDs 353041501274, 261504134214)</t>
        </is>
      </c>
      <c r="G155" s="30" t="n">
        <v>2</v>
      </c>
      <c r="H155" s="30" t="inlineStr">
        <is>
          <t>Sanjay Gandhi Nagar Kanpur</t>
        </is>
      </c>
      <c r="I155" s="30" t="inlineStr">
        <is>
          <t>6386680960</t>
        </is>
      </c>
      <c r="J155" s="30" t="inlineStr">
        <is>
          <t>Kanpur</t>
        </is>
      </c>
      <c r="K155" s="30" t="inlineStr">
        <is>
          <t>Kanpur</t>
        </is>
      </c>
      <c r="L155" s="30" t="inlineStr">
        <is>
          <t>Visit</t>
        </is>
      </c>
      <c r="M155" s="30" t="inlineStr">
        <is>
          <t>2/3/25 2:15pm</t>
        </is>
      </c>
      <c r="N155" s="30" t="inlineStr">
        <is>
          <t>2/3/25 4:45pm</t>
        </is>
      </c>
      <c r="O155" s="30" t="inlineStr">
        <is>
          <t>202</t>
        </is>
      </c>
    </row>
    <row r="156">
      <c r="A156" s="30" t="n">
        <v>13</v>
      </c>
      <c r="B156" s="30" t="n">
        <v>152</v>
      </c>
      <c r="C156" s="30" t="inlineStr">
        <is>
          <t>Dinesh / Saloni</t>
        </is>
      </c>
      <c r="D156" s="30" t="inlineStr">
        <is>
          <t>27 / 22</t>
        </is>
      </c>
      <c r="E156" s="30" t="inlineStr">
        <is>
          <t>Family</t>
        </is>
      </c>
      <c r="F156" s="30" t="inlineStr">
        <is>
          <t>Indian (IDs 980065460854, 5298412304)</t>
        </is>
      </c>
      <c r="G156" s="30" t="n">
        <v>2</v>
      </c>
      <c r="H156" s="30" t="inlineStr">
        <is>
          <t>Pipori, Mardanpur</t>
        </is>
      </c>
      <c r="I156" s="30" t="inlineStr">
        <is>
          <t>7521922852</t>
        </is>
      </c>
      <c r="J156" s="30" t="inlineStr">
        <is>
          <t>Kanpur</t>
        </is>
      </c>
      <c r="K156" s="30" t="inlineStr">
        <is>
          <t>Kanpur</t>
        </is>
      </c>
      <c r="L156" s="30" t="inlineStr">
        <is>
          <t>Visit</t>
        </is>
      </c>
      <c r="M156" s="30" t="inlineStr">
        <is>
          <t>2/3/25</t>
        </is>
      </c>
      <c r="N156" s="30" t="n"/>
      <c r="O156" s="30" t="n"/>
    </row>
    <row r="157">
      <c r="A157" s="30" t="n">
        <v>13</v>
      </c>
      <c r="B157" s="30" t="n">
        <v>153</v>
      </c>
      <c r="C157" s="30" t="inlineStr">
        <is>
          <t>Abhay Mishra / Anjali</t>
        </is>
      </c>
      <c r="D157" s="30" t="inlineStr">
        <is>
          <t>20 / 19</t>
        </is>
      </c>
      <c r="E157" s="30" t="inlineStr">
        <is>
          <t>Friend</t>
        </is>
      </c>
      <c r="F157" s="30" t="inlineStr">
        <is>
          <t>Indian (IDs 309719208445, 501274126550)</t>
        </is>
      </c>
      <c r="G157" s="30" t="n">
        <v>2</v>
      </c>
      <c r="H157" s="30" t="inlineStr">
        <is>
          <t>Nayi Basti Kanpur</t>
        </is>
      </c>
      <c r="I157" s="30" t="inlineStr">
        <is>
          <t>9696972862</t>
        </is>
      </c>
      <c r="J157" s="30" t="inlineStr">
        <is>
          <t>Kanpur</t>
        </is>
      </c>
      <c r="K157" s="30" t="inlineStr">
        <is>
          <t>Kanpur</t>
        </is>
      </c>
      <c r="L157" s="30" t="inlineStr">
        <is>
          <t>Visit</t>
        </is>
      </c>
      <c r="M157" s="30" t="inlineStr">
        <is>
          <t>2/3/25 11:30am</t>
        </is>
      </c>
      <c r="N157" s="30" t="inlineStr">
        <is>
          <t>2/3/25 3:41pm</t>
        </is>
      </c>
      <c r="O157" s="30" t="inlineStr">
        <is>
          <t>202</t>
        </is>
      </c>
    </row>
    <row r="158">
      <c r="A158" s="30" t="n">
        <v>13</v>
      </c>
      <c r="B158" s="30" t="n">
        <v>154</v>
      </c>
      <c r="C158" s="30" t="inlineStr">
        <is>
          <t>Shivaji / Sneha</t>
        </is>
      </c>
      <c r="D158" s="30" t="inlineStr">
        <is>
          <t>21 / 20</t>
        </is>
      </c>
      <c r="E158" s="30" t="inlineStr">
        <is>
          <t>Friend</t>
        </is>
      </c>
      <c r="F158" s="30" t="inlineStr">
        <is>
          <t>Indian (ID 6109632301..)</t>
        </is>
      </c>
      <c r="G158" s="30" t="n">
        <v>2</v>
      </c>
      <c r="H158" s="30" t="inlineStr">
        <is>
          <t>-</t>
        </is>
      </c>
      <c r="I158" s="30" t="inlineStr">
        <is>
          <t>6392813154</t>
        </is>
      </c>
      <c r="J158" s="30" t="inlineStr">
        <is>
          <t>Kanpur</t>
        </is>
      </c>
      <c r="K158" s="30" t="inlineStr">
        <is>
          <t>Kanpur</t>
        </is>
      </c>
      <c r="L158" s="30" t="inlineStr">
        <is>
          <t>Visit</t>
        </is>
      </c>
      <c r="M158" s="30" t="inlineStr">
        <is>
          <t>2/3/25 2:50pm</t>
        </is>
      </c>
      <c r="N158" s="30" t="inlineStr">
        <is>
          <t>2/3/25 3:10pm</t>
        </is>
      </c>
      <c r="O158" s="30" t="inlineStr">
        <is>
          <t>202</t>
        </is>
      </c>
    </row>
    <row r="159">
      <c r="A159" s="30" t="n">
        <v>13</v>
      </c>
      <c r="B159" s="30" t="n">
        <v>155</v>
      </c>
      <c r="C159" s="30" t="inlineStr">
        <is>
          <t>(blank row in register)</t>
        </is>
      </c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</row>
    <row r="160">
      <c r="A160" s="30" t="n">
        <v>13</v>
      </c>
      <c r="B160" s="30" t="n">
        <v>156</v>
      </c>
      <c r="C160" s="30" t="inlineStr">
        <is>
          <t>Himansu / Payal</t>
        </is>
      </c>
      <c r="D160" s="30" t="inlineStr">
        <is>
          <t>26 / 27</t>
        </is>
      </c>
      <c r="E160" s="30" t="inlineStr">
        <is>
          <t>Family</t>
        </is>
      </c>
      <c r="F160" s="30" t="inlineStr">
        <is>
          <t>Indian (IDs 265578919667, 545553616706)</t>
        </is>
      </c>
      <c r="G160" s="30" t="n">
        <v>2</v>
      </c>
      <c r="H160" s="30" t="inlineStr">
        <is>
          <t>Sunahri Gali, Saiyad Wada, Hamirpur</t>
        </is>
      </c>
      <c r="I160" s="30" t="inlineStr">
        <is>
          <t>8081571475</t>
        </is>
      </c>
      <c r="J160" s="30" t="inlineStr">
        <is>
          <t>Kanpur</t>
        </is>
      </c>
      <c r="K160" s="30" t="inlineStr">
        <is>
          <t>Kanpur</t>
        </is>
      </c>
      <c r="L160" s="30" t="inlineStr">
        <is>
          <t>Visit</t>
        </is>
      </c>
      <c r="M160" s="30" t="inlineStr">
        <is>
          <t>7/3/25</t>
        </is>
      </c>
      <c r="N160" s="30" t="inlineStr">
        <is>
          <t>7/3/25</t>
        </is>
      </c>
      <c r="O160" s="30" t="n"/>
    </row>
    <row r="161">
      <c r="A161" s="30" t="n">
        <v>14</v>
      </c>
      <c r="B161" s="30" t="n">
        <v>156</v>
      </c>
      <c r="C161" s="30" t="inlineStr">
        <is>
          <t>Aditya / Priyanka / Sanjana</t>
        </is>
      </c>
      <c r="D161" s="30" t="inlineStr">
        <is>
          <t>20 / 19</t>
        </is>
      </c>
      <c r="E161" s="30" t="inlineStr">
        <is>
          <t>Friend</t>
        </is>
      </c>
      <c r="F161" s="30" t="inlineStr">
        <is>
          <t>Indian (ID 870173978832)</t>
        </is>
      </c>
      <c r="G161" s="30" t="n">
        <v>2</v>
      </c>
      <c r="H161" s="30" t="inlineStr">
        <is>
          <t>Awas Vikas, Kanpur</t>
        </is>
      </c>
      <c r="I161" s="31" t="inlineStr">
        <is>
          <t>VERIFY 8115195851</t>
        </is>
      </c>
      <c r="J161" s="30" t="inlineStr">
        <is>
          <t>Kanpur</t>
        </is>
      </c>
      <c r="K161" s="30" t="inlineStr">
        <is>
          <t>Kanpur</t>
        </is>
      </c>
      <c r="L161" s="30" t="inlineStr">
        <is>
          <t>Visit</t>
        </is>
      </c>
      <c r="M161" s="30" t="inlineStr">
        <is>
          <t>14/2/25</t>
        </is>
      </c>
      <c r="N161" s="30" t="inlineStr">
        <is>
          <t>14/2/25</t>
        </is>
      </c>
      <c r="O161" s="30" t="inlineStr">
        <is>
          <t>205</t>
        </is>
      </c>
    </row>
    <row r="162">
      <c r="A162" s="30" t="n">
        <v>14</v>
      </c>
      <c r="B162" s="30" t="n">
        <v>157</v>
      </c>
      <c r="C162" s="30" t="inlineStr">
        <is>
          <t>Divyansh Shukla / Ananya Mishra</t>
        </is>
      </c>
      <c r="D162" s="30" t="inlineStr">
        <is>
          <t>19 / 18</t>
        </is>
      </c>
      <c r="E162" s="30" t="inlineStr">
        <is>
          <t>Friend</t>
        </is>
      </c>
      <c r="F162" s="30" t="inlineStr">
        <is>
          <t>Indian (IDs 640217140259, 4537613064)</t>
        </is>
      </c>
      <c r="G162" s="30" t="n">
        <v>2</v>
      </c>
      <c r="H162" s="30" t="inlineStr">
        <is>
          <t>11/642 Awas Vikas, Hanspuram, Kanpur</t>
        </is>
      </c>
      <c r="I162" s="30" t="inlineStr">
        <is>
          <t>9554346863</t>
        </is>
      </c>
      <c r="J162" s="30" t="inlineStr">
        <is>
          <t>Kanpur</t>
        </is>
      </c>
      <c r="K162" s="30" t="inlineStr">
        <is>
          <t>Kanpur</t>
        </is>
      </c>
      <c r="L162" s="30" t="inlineStr">
        <is>
          <t>Visit</t>
        </is>
      </c>
      <c r="M162" s="30" t="inlineStr">
        <is>
          <t>14/2/25</t>
        </is>
      </c>
      <c r="N162" s="30" t="inlineStr">
        <is>
          <t>14/2/25</t>
        </is>
      </c>
      <c r="O162" s="30" t="inlineStr">
        <is>
          <t>204</t>
        </is>
      </c>
    </row>
    <row r="163">
      <c r="A163" s="30" t="n">
        <v>14</v>
      </c>
      <c r="B163" s="30" t="n">
        <v>158</v>
      </c>
      <c r="C163" s="30" t="inlineStr">
        <is>
          <t>Aarti Tiwari / Alok Tiwari</t>
        </is>
      </c>
      <c r="D163" s="30" t="inlineStr">
        <is>
          <t>19 / 20</t>
        </is>
      </c>
      <c r="E163" s="30" t="inlineStr">
        <is>
          <t>Married</t>
        </is>
      </c>
      <c r="F163" s="30" t="inlineStr">
        <is>
          <t>Indian (IDs 869854011974, 245808476904)</t>
        </is>
      </c>
      <c r="G163" s="30" t="n">
        <v>2</v>
      </c>
      <c r="H163" s="30" t="inlineStr">
        <is>
          <t>Mini LIG 132, Dabauli Kanpur</t>
        </is>
      </c>
      <c r="I163" s="31" t="inlineStr">
        <is>
          <t>VERIFY 7080956571</t>
        </is>
      </c>
      <c r="J163" s="30" t="inlineStr">
        <is>
          <t>Kanpur</t>
        </is>
      </c>
      <c r="K163" s="30" t="inlineStr">
        <is>
          <t>Kanpur</t>
        </is>
      </c>
      <c r="L163" s="30" t="inlineStr">
        <is>
          <t>Visit</t>
        </is>
      </c>
      <c r="M163" s="30" t="inlineStr">
        <is>
          <t>14/2/25</t>
        </is>
      </c>
      <c r="N163" s="30" t="inlineStr">
        <is>
          <t>14/2/25</t>
        </is>
      </c>
      <c r="O163" s="30" t="inlineStr">
        <is>
          <t>203</t>
        </is>
      </c>
    </row>
    <row r="164">
      <c r="A164" s="30" t="n">
        <v>14</v>
      </c>
      <c r="B164" s="30" t="n">
        <v>159</v>
      </c>
      <c r="C164" s="30" t="inlineStr">
        <is>
          <t>Ashish Agrahari / Priya (Hindi)</t>
        </is>
      </c>
      <c r="D164" s="30" t="inlineStr">
        <is>
          <t>30 / 24</t>
        </is>
      </c>
      <c r="E164" s="30" t="inlineStr">
        <is>
          <t>Family</t>
        </is>
      </c>
      <c r="F164" s="30" t="inlineStr">
        <is>
          <t>Indian</t>
        </is>
      </c>
      <c r="G164" s="30" t="n">
        <v>2</v>
      </c>
      <c r="H164" s="30" t="inlineStr">
        <is>
          <t>1414 Awadhpuri, Kalyanpur (Hindi)</t>
        </is>
      </c>
      <c r="I164" s="30" t="inlineStr">
        <is>
          <t>8840692163</t>
        </is>
      </c>
      <c r="J164" s="30" t="inlineStr">
        <is>
          <t>Kanpur</t>
        </is>
      </c>
      <c r="K164" s="30" t="inlineStr">
        <is>
          <t>Kanpur</t>
        </is>
      </c>
      <c r="L164" s="30" t="inlineStr">
        <is>
          <t>Visit</t>
        </is>
      </c>
      <c r="M164" s="30" t="inlineStr">
        <is>
          <t>15/2/25 8:15pm</t>
        </is>
      </c>
      <c r="N164" s="30" t="inlineStr">
        <is>
          <t>15/2/25</t>
        </is>
      </c>
      <c r="O164" s="30" t="inlineStr">
        <is>
          <t>203</t>
        </is>
      </c>
    </row>
    <row r="165">
      <c r="A165" s="30" t="n">
        <v>14</v>
      </c>
      <c r="B165" s="30" t="n">
        <v>160</v>
      </c>
      <c r="C165" s="30" t="inlineStr">
        <is>
          <t>Sharad Gautam / Deeksha Katiyar (Hindi)</t>
        </is>
      </c>
      <c r="D165" s="30" t="inlineStr">
        <is>
          <t>24 / 19</t>
        </is>
      </c>
      <c r="E165" s="30" t="inlineStr">
        <is>
          <t>Family</t>
        </is>
      </c>
      <c r="F165" s="30" t="inlineStr">
        <is>
          <t>India (IDs 9343517047.., 696859893750)</t>
        </is>
      </c>
      <c r="G165" s="30" t="n">
        <v>2</v>
      </c>
      <c r="H165" s="30" t="inlineStr">
        <is>
          <t>Munni Purwa / Tamaspur Kanpur (Hindi)</t>
        </is>
      </c>
      <c r="I165" s="30" t="inlineStr">
        <is>
          <t>6388895511</t>
        </is>
      </c>
      <c r="J165" s="30" t="inlineStr">
        <is>
          <t>Kanpur / Kanpur Dehat</t>
        </is>
      </c>
      <c r="K165" s="30" t="inlineStr">
        <is>
          <t>Kanpur</t>
        </is>
      </c>
      <c r="L165" s="30" t="inlineStr">
        <is>
          <t>Visit</t>
        </is>
      </c>
      <c r="M165" s="31" t="inlineStr">
        <is>
          <t>VERIFY (15-19/2/25) 6:00pm</t>
        </is>
      </c>
      <c r="N165" s="30" t="n"/>
      <c r="O165" s="30" t="inlineStr">
        <is>
          <t>202</t>
        </is>
      </c>
    </row>
    <row r="166">
      <c r="A166" s="30" t="n">
        <v>14</v>
      </c>
      <c r="B166" s="30" t="n">
        <v>161</v>
      </c>
      <c r="C166" s="30" t="inlineStr">
        <is>
          <t>Satish / Jyoti (Hindi)</t>
        </is>
      </c>
      <c r="D166" s="30" t="inlineStr">
        <is>
          <t>24 / 24</t>
        </is>
      </c>
      <c r="E166" s="30" t="inlineStr">
        <is>
          <t>Family</t>
        </is>
      </c>
      <c r="F166" s="30" t="inlineStr">
        <is>
          <t>Indian (IDs 492301316113, 476830470187)</t>
        </is>
      </c>
      <c r="G166" s="30" t="n">
        <v>2</v>
      </c>
      <c r="H166" s="30" t="inlineStr">
        <is>
          <t>Saket Nagar Kanpur (Hindi)</t>
        </is>
      </c>
      <c r="I166" s="30" t="inlineStr">
        <is>
          <t>8858377320</t>
        </is>
      </c>
      <c r="J166" s="30" t="inlineStr">
        <is>
          <t>Kanpur</t>
        </is>
      </c>
      <c r="K166" s="30" t="inlineStr">
        <is>
          <t>Kanpur</t>
        </is>
      </c>
      <c r="L166" s="30" t="inlineStr">
        <is>
          <t>Visit</t>
        </is>
      </c>
      <c r="M166" s="31" t="inlineStr">
        <is>
          <t>VERIFY (15-19/2/25) 11:46am</t>
        </is>
      </c>
      <c r="N166" s="30" t="n"/>
      <c r="O166" s="30" t="inlineStr">
        <is>
          <t>202</t>
        </is>
      </c>
    </row>
    <row r="167">
      <c r="A167" s="30" t="n">
        <v>14</v>
      </c>
      <c r="B167" s="30" t="n">
        <v>162</v>
      </c>
      <c r="C167" s="30" t="inlineStr">
        <is>
          <t>(blank row in register)</t>
        </is>
      </c>
      <c r="D167" s="30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</row>
    <row r="168">
      <c r="A168" s="30" t="n">
        <v>14</v>
      </c>
      <c r="B168" s="30" t="n">
        <v>163</v>
      </c>
      <c r="C168" s="30" t="inlineStr">
        <is>
          <t>(struck-out entry)</t>
        </is>
      </c>
      <c r="D168" s="30" t="inlineStr">
        <is>
          <t>26</t>
        </is>
      </c>
      <c r="E168" s="30" t="n"/>
      <c r="F168" s="30" t="inlineStr">
        <is>
          <t>Indian (ID 33065935772)</t>
        </is>
      </c>
      <c r="G168" s="30" t="n"/>
      <c r="H168" s="30" t="inlineStr">
        <is>
          <t>G121 (unclear)</t>
        </is>
      </c>
      <c r="I168" s="30" t="n"/>
      <c r="J168" s="30" t="n"/>
      <c r="K168" s="30" t="n"/>
      <c r="L168" s="30" t="n"/>
      <c r="M168" s="30" t="n"/>
      <c r="N168" s="30" t="n"/>
      <c r="O168" s="30" t="n"/>
    </row>
    <row r="169">
      <c r="A169" s="30" t="n">
        <v>14</v>
      </c>
      <c r="B169" s="30" t="n">
        <v>164</v>
      </c>
      <c r="C169" s="30" t="inlineStr">
        <is>
          <t>Aman Sharma / Shweta Pathak</t>
        </is>
      </c>
      <c r="D169" s="30" t="inlineStr">
        <is>
          <t>19 / 19</t>
        </is>
      </c>
      <c r="E169" s="30" t="inlineStr">
        <is>
          <t>Friend</t>
        </is>
      </c>
      <c r="F169" s="30" t="inlineStr">
        <is>
          <t>Indian (IDs 652317493620, 510594381798)</t>
        </is>
      </c>
      <c r="G169" s="30" t="n">
        <v>2</v>
      </c>
      <c r="H169" s="30" t="inlineStr">
        <is>
          <t>267/2 Rail Bazar, Kanpur Cantt</t>
        </is>
      </c>
      <c r="I169" s="30" t="inlineStr">
        <is>
          <t>9451930495</t>
        </is>
      </c>
      <c r="J169" s="30" t="inlineStr">
        <is>
          <t>Kanpur</t>
        </is>
      </c>
      <c r="K169" s="30" t="inlineStr">
        <is>
          <t>Kanpur</t>
        </is>
      </c>
      <c r="L169" s="30" t="inlineStr">
        <is>
          <t>Visit</t>
        </is>
      </c>
      <c r="M169" s="30" t="inlineStr">
        <is>
          <t>19/2/25</t>
        </is>
      </c>
      <c r="N169" s="30" t="inlineStr">
        <is>
          <t>19/2/25</t>
        </is>
      </c>
      <c r="O169" s="30" t="inlineStr">
        <is>
          <t>204</t>
        </is>
      </c>
    </row>
    <row r="170">
      <c r="A170" s="30" t="n">
        <v>14</v>
      </c>
      <c r="B170" s="30" t="n">
        <v>165</v>
      </c>
      <c r="C170" s="30" t="inlineStr">
        <is>
          <t>Priya Gupta / Pawan Gupta</t>
        </is>
      </c>
      <c r="D170" s="30" t="inlineStr">
        <is>
          <t>34 / 37</t>
        </is>
      </c>
      <c r="E170" s="30" t="inlineStr">
        <is>
          <t>Married</t>
        </is>
      </c>
      <c r="F170" s="30" t="inlineStr">
        <is>
          <t>Indian (IDs 341806674830, 959824095703)</t>
        </is>
      </c>
      <c r="G170" s="30" t="n">
        <v>2</v>
      </c>
      <c r="H170" s="30" t="inlineStr">
        <is>
          <t>Ambedkar Nagar, Ajitmal, Auraiya</t>
        </is>
      </c>
      <c r="I170" s="30" t="inlineStr">
        <is>
          <t>8218905563</t>
        </is>
      </c>
      <c r="J170" s="30" t="inlineStr">
        <is>
          <t>Kanpur</t>
        </is>
      </c>
      <c r="K170" s="30" t="inlineStr">
        <is>
          <t>Kanpur</t>
        </is>
      </c>
      <c r="L170" s="30" t="inlineStr">
        <is>
          <t>Visit</t>
        </is>
      </c>
      <c r="M170" s="30" t="inlineStr">
        <is>
          <t>19/2/25</t>
        </is>
      </c>
      <c r="N170" s="30" t="inlineStr">
        <is>
          <t>19/2/25</t>
        </is>
      </c>
      <c r="O170" s="30" t="inlineStr">
        <is>
          <t>203</t>
        </is>
      </c>
    </row>
    <row r="171">
      <c r="A171" s="30" t="n">
        <v>14</v>
      </c>
      <c r="B171" s="30" t="n">
        <v>166</v>
      </c>
      <c r="C171" s="30" t="inlineStr">
        <is>
          <t>Anurag Shukla / Jyoti Verma</t>
        </is>
      </c>
      <c r="D171" s="30" t="inlineStr">
        <is>
          <t>21 / 22</t>
        </is>
      </c>
      <c r="E171" s="30" t="inlineStr">
        <is>
          <t>Friend</t>
        </is>
      </c>
      <c r="F171" s="30" t="inlineStr">
        <is>
          <t>Indian (IDs 354097839013, 692502215269)</t>
        </is>
      </c>
      <c r="G171" s="30" t="n">
        <v>2</v>
      </c>
      <c r="H171" s="30" t="inlineStr">
        <is>
          <t>C-684 World Bank Barra Kanpur</t>
        </is>
      </c>
      <c r="I171" s="30" t="inlineStr">
        <is>
          <t>9335681236</t>
        </is>
      </c>
      <c r="J171" s="30" t="inlineStr">
        <is>
          <t>Kanpur</t>
        </is>
      </c>
      <c r="K171" s="30" t="inlineStr">
        <is>
          <t>Kanpur</t>
        </is>
      </c>
      <c r="L171" s="30" t="inlineStr">
        <is>
          <t>Visit</t>
        </is>
      </c>
      <c r="M171" s="30" t="inlineStr">
        <is>
          <t>20/2/25</t>
        </is>
      </c>
      <c r="N171" s="30" t="inlineStr">
        <is>
          <t>20/2/25</t>
        </is>
      </c>
      <c r="O171" s="30" t="inlineStr">
        <is>
          <t>205</t>
        </is>
      </c>
    </row>
    <row r="172">
      <c r="A172" s="30" t="n">
        <v>14</v>
      </c>
      <c r="B172" s="30" t="n">
        <v>167</v>
      </c>
      <c r="C172" s="30" t="inlineStr">
        <is>
          <t>Ankit / Anju</t>
        </is>
      </c>
      <c r="D172" s="30" t="n"/>
      <c r="E172" s="30" t="n"/>
      <c r="F172" s="30" t="inlineStr">
        <is>
          <t>Indian</t>
        </is>
      </c>
      <c r="G172" s="30" t="n">
        <v>2</v>
      </c>
      <c r="H172" s="30" t="inlineStr">
        <is>
          <t>-</t>
        </is>
      </c>
      <c r="I172" s="31" t="inlineStr">
        <is>
          <t>VERIFY 8318247930</t>
        </is>
      </c>
      <c r="J172" s="30" t="inlineStr">
        <is>
          <t>Kanpur Nagar</t>
        </is>
      </c>
      <c r="K172" s="30" t="inlineStr">
        <is>
          <t>Kanpur</t>
        </is>
      </c>
      <c r="L172" s="30" t="inlineStr">
        <is>
          <t>Visit</t>
        </is>
      </c>
      <c r="M172" s="31" t="inlineStr">
        <is>
          <t>VERIFY 2?/2/25 1:37pm</t>
        </is>
      </c>
      <c r="N172" s="30" t="n"/>
      <c r="O172" s="30" t="inlineStr">
        <is>
          <t>205</t>
        </is>
      </c>
    </row>
    <row r="173">
      <c r="A173" s="30" t="n">
        <v>14</v>
      </c>
      <c r="B173" s="30" t="n">
        <v>168</v>
      </c>
      <c r="C173" s="30" t="inlineStr">
        <is>
          <t>Akshat Trivedi / Rachna Sarkar</t>
        </is>
      </c>
      <c r="D173" s="30" t="inlineStr">
        <is>
          <t>22 / 22</t>
        </is>
      </c>
      <c r="E173" s="30" t="inlineStr">
        <is>
          <t>Friend</t>
        </is>
      </c>
      <c r="F173" s="30" t="inlineStr">
        <is>
          <t>Indian (IDs 411761069505, 934511336990)</t>
        </is>
      </c>
      <c r="G173" s="30" t="n">
        <v>2</v>
      </c>
      <c r="H173" s="30" t="inlineStr">
        <is>
          <t>Dabauli</t>
        </is>
      </c>
      <c r="I173" s="30" t="n"/>
      <c r="J173" s="30" t="inlineStr">
        <is>
          <t>Kanpur</t>
        </is>
      </c>
      <c r="K173" s="30" t="inlineStr">
        <is>
          <t>Kanpur</t>
        </is>
      </c>
      <c r="L173" s="30" t="inlineStr">
        <is>
          <t>Visit</t>
        </is>
      </c>
      <c r="M173" s="31" t="inlineStr">
        <is>
          <t>VERIFY 2?/2/25</t>
        </is>
      </c>
      <c r="N173" s="30" t="n"/>
      <c r="O173" s="30" t="inlineStr">
        <is>
          <t>205</t>
        </is>
      </c>
    </row>
    <row r="174">
      <c r="A174" s="30" t="n">
        <v>15</v>
      </c>
      <c r="B174" s="30" t="n">
        <v>169</v>
      </c>
      <c r="C174" s="30" t="inlineStr">
        <is>
          <t>Shailendra Singh / Abhilasha Singh</t>
        </is>
      </c>
      <c r="D174" s="30" t="inlineStr">
        <is>
          <t>22 / 23</t>
        </is>
      </c>
      <c r="E174" s="30" t="inlineStr">
        <is>
          <t>Married</t>
        </is>
      </c>
      <c r="F174" s="30" t="inlineStr">
        <is>
          <t>Indian (IDs 692621043032, 750548360705)</t>
        </is>
      </c>
      <c r="G174" s="30" t="n">
        <v>2</v>
      </c>
      <c r="H174" s="30" t="inlineStr">
        <is>
          <t>Naubasta / Naubasta</t>
        </is>
      </c>
      <c r="I174" s="30" t="inlineStr">
        <is>
          <t>7905820034 / 765202602?</t>
        </is>
      </c>
      <c r="J174" s="30" t="inlineStr">
        <is>
          <t>Kanpur</t>
        </is>
      </c>
      <c r="K174" s="30" t="inlineStr">
        <is>
          <t>Kanpur</t>
        </is>
      </c>
      <c r="L174" s="30" t="inlineStr">
        <is>
          <t>Party</t>
        </is>
      </c>
      <c r="M174" s="30" t="inlineStr">
        <is>
          <t>20/2/25</t>
        </is>
      </c>
      <c r="N174" s="30" t="inlineStr">
        <is>
          <t>20/2/25</t>
        </is>
      </c>
      <c r="O174" s="30" t="inlineStr">
        <is>
          <t>202</t>
        </is>
      </c>
    </row>
    <row r="175">
      <c r="A175" s="30" t="n">
        <v>15</v>
      </c>
      <c r="B175" s="30" t="n">
        <v>170</v>
      </c>
      <c r="C175" s="30" t="inlineStr">
        <is>
          <t>Vivek / Muskan</t>
        </is>
      </c>
      <c r="D175" s="30" t="inlineStr">
        <is>
          <t>21 / 19</t>
        </is>
      </c>
      <c r="E175" s="30" t="inlineStr">
        <is>
          <t>Married</t>
        </is>
      </c>
      <c r="F175" s="30" t="inlineStr">
        <is>
          <t>Indian (IDs 7522850877, 319925152525)</t>
        </is>
      </c>
      <c r="G175" s="30" t="n">
        <v>2</v>
      </c>
      <c r="H175" s="30" t="inlineStr">
        <is>
          <t>Barra / Barra</t>
        </is>
      </c>
      <c r="I175" s="30" t="inlineStr">
        <is>
          <t>7522850077</t>
        </is>
      </c>
      <c r="J175" s="30" t="inlineStr">
        <is>
          <t>Kanpur</t>
        </is>
      </c>
      <c r="K175" s="30" t="inlineStr">
        <is>
          <t>Kanpur</t>
        </is>
      </c>
      <c r="L175" s="30" t="inlineStr">
        <is>
          <t>Visit</t>
        </is>
      </c>
      <c r="M175" s="30" t="inlineStr">
        <is>
          <t>21/2/25</t>
        </is>
      </c>
      <c r="N175" s="30" t="inlineStr">
        <is>
          <t>21/2/25</t>
        </is>
      </c>
      <c r="O175" s="30" t="inlineStr">
        <is>
          <t>205</t>
        </is>
      </c>
    </row>
    <row r="176">
      <c r="A176" s="30" t="n">
        <v>15</v>
      </c>
      <c r="B176" s="30" t="n">
        <v>171</v>
      </c>
      <c r="C176" s="30" t="inlineStr">
        <is>
          <t>Avadhesh / Ragini (Hindi)</t>
        </is>
      </c>
      <c r="D176" s="30" t="inlineStr">
        <is>
          <t>45 / 24</t>
        </is>
      </c>
      <c r="E176" s="30" t="inlineStr">
        <is>
          <t>Married</t>
        </is>
      </c>
      <c r="F176" s="30" t="inlineStr">
        <is>
          <t>Indian (IDs 550294414392, 474075907336)</t>
        </is>
      </c>
      <c r="G176" s="30" t="n">
        <v>2</v>
      </c>
      <c r="H176" s="30" t="inlineStr">
        <is>
          <t>Kanpur</t>
        </is>
      </c>
      <c r="I176" s="30" t="inlineStr">
        <is>
          <t>7388478655</t>
        </is>
      </c>
      <c r="J176" s="30" t="inlineStr">
        <is>
          <t>Kanpur</t>
        </is>
      </c>
      <c r="K176" s="30" t="inlineStr">
        <is>
          <t>Kanpur</t>
        </is>
      </c>
      <c r="L176" s="30" t="inlineStr">
        <is>
          <t>Visit</t>
        </is>
      </c>
      <c r="M176" s="30" t="inlineStr">
        <is>
          <t>21/2/25</t>
        </is>
      </c>
      <c r="N176" s="30" t="inlineStr">
        <is>
          <t>21/2/25</t>
        </is>
      </c>
      <c r="O176" s="30" t="n"/>
    </row>
    <row r="177">
      <c r="A177" s="30" t="n">
        <v>15</v>
      </c>
      <c r="B177" s="30" t="n">
        <v>172</v>
      </c>
      <c r="C177" s="30" t="inlineStr">
        <is>
          <t>Deeksha Prajapati</t>
        </is>
      </c>
      <c r="D177" s="30" t="n"/>
      <c r="E177" s="30" t="inlineStr">
        <is>
          <t>Married</t>
        </is>
      </c>
      <c r="F177" s="30" t="inlineStr">
        <is>
          <t>Indian</t>
        </is>
      </c>
      <c r="G177" s="30" t="n"/>
      <c r="H177" s="30" t="inlineStr">
        <is>
          <t>-</t>
        </is>
      </c>
      <c r="I177" s="30" t="n"/>
      <c r="J177" s="30" t="n"/>
      <c r="K177" s="30" t="n"/>
      <c r="L177" s="30" t="n"/>
      <c r="M177" s="30" t="n"/>
      <c r="N177" s="30" t="n"/>
      <c r="O177" s="30" t="n"/>
    </row>
    <row r="178">
      <c r="A178" s="30" t="n">
        <v>15</v>
      </c>
      <c r="B178" s="30" t="n">
        <v>173</v>
      </c>
      <c r="C178" s="30" t="inlineStr">
        <is>
          <t>Satish / Jyoti (Hindi)</t>
        </is>
      </c>
      <c r="D178" s="30" t="inlineStr">
        <is>
          <t>24 / 24</t>
        </is>
      </c>
      <c r="E178" s="30" t="inlineStr">
        <is>
          <t>Married</t>
        </is>
      </c>
      <c r="F178" s="30" t="inlineStr">
        <is>
          <t>Indian (IDs 492301316113, 476830470187)</t>
        </is>
      </c>
      <c r="G178" s="30" t="n">
        <v>2</v>
      </c>
      <c r="H178" s="30" t="inlineStr">
        <is>
          <t>Saket Nagar</t>
        </is>
      </c>
      <c r="I178" s="30" t="inlineStr">
        <is>
          <t>8858377320</t>
        </is>
      </c>
      <c r="J178" s="30" t="inlineStr">
        <is>
          <t>Kanpur</t>
        </is>
      </c>
      <c r="K178" s="30" t="inlineStr">
        <is>
          <t>Kanpur</t>
        </is>
      </c>
      <c r="L178" s="30" t="inlineStr">
        <is>
          <t>Visit</t>
        </is>
      </c>
      <c r="M178" s="30" t="n"/>
      <c r="N178" s="30" t="inlineStr">
        <is>
          <t>22/2/25 11:15am</t>
        </is>
      </c>
      <c r="O178" s="30" t="n"/>
    </row>
    <row r="179">
      <c r="A179" s="30" t="n">
        <v>15</v>
      </c>
      <c r="B179" s="30" t="n">
        <v>174</v>
      </c>
      <c r="C179" s="30" t="inlineStr">
        <is>
          <t>Aditya / Anshika</t>
        </is>
      </c>
      <c r="D179" s="30" t="inlineStr">
        <is>
          <t>21 / 20</t>
        </is>
      </c>
      <c r="E179" s="30" t="inlineStr">
        <is>
          <t>Friend</t>
        </is>
      </c>
      <c r="F179" s="30" t="inlineStr">
        <is>
          <t>Indian (IDs 870173978032, 619865559376)</t>
        </is>
      </c>
      <c r="G179" s="30" t="n">
        <v>2</v>
      </c>
      <c r="H179" s="30" t="inlineStr">
        <is>
          <t>Awas Vikas / Awas Vikas</t>
        </is>
      </c>
      <c r="I179" s="30" t="inlineStr">
        <is>
          <t>8115705855</t>
        </is>
      </c>
      <c r="J179" s="30" t="inlineStr">
        <is>
          <t>Kanpur</t>
        </is>
      </c>
      <c r="K179" s="30" t="inlineStr">
        <is>
          <t>Kanpur</t>
        </is>
      </c>
      <c r="L179" s="30" t="inlineStr">
        <is>
          <t>Visit</t>
        </is>
      </c>
      <c r="M179" s="30" t="inlineStr">
        <is>
          <t>22/2/25 4:15pm</t>
        </is>
      </c>
      <c r="N179" s="30" t="inlineStr">
        <is>
          <t>22/2/25</t>
        </is>
      </c>
      <c r="O179" s="30" t="inlineStr">
        <is>
          <t>205</t>
        </is>
      </c>
    </row>
    <row r="180">
      <c r="A180" s="30" t="n">
        <v>15</v>
      </c>
      <c r="B180" s="30" t="n">
        <v>175</v>
      </c>
      <c r="C180" s="30" t="inlineStr">
        <is>
          <t>(Hindi) Gautam / Geeta</t>
        </is>
      </c>
      <c r="D180" s="30" t="inlineStr">
        <is>
          <t>23 / 26</t>
        </is>
      </c>
      <c r="E180" s="30" t="inlineStr">
        <is>
          <t>Married</t>
        </is>
      </c>
      <c r="F180" s="30" t="inlineStr">
        <is>
          <t>Indian (ID 93435170472)</t>
        </is>
      </c>
      <c r="G180" s="30" t="n">
        <v>2</v>
      </c>
      <c r="H180" s="30" t="inlineStr">
        <is>
          <t>(Hindi, unclear)</t>
        </is>
      </c>
      <c r="I180" s="31" t="inlineStr">
        <is>
          <t>VERIFY 8112634730 / 8294045240</t>
        </is>
      </c>
      <c r="J180" s="30" t="inlineStr">
        <is>
          <t>Kanpur</t>
        </is>
      </c>
      <c r="K180" s="30" t="inlineStr">
        <is>
          <t>Kanpur</t>
        </is>
      </c>
      <c r="L180" s="30" t="inlineStr">
        <is>
          <t>Visit</t>
        </is>
      </c>
      <c r="M180" s="30" t="inlineStr">
        <is>
          <t>24/2/25</t>
        </is>
      </c>
      <c r="N180" s="30" t="inlineStr">
        <is>
          <t>24/2/25</t>
        </is>
      </c>
      <c r="O180" s="30" t="n"/>
    </row>
    <row r="181">
      <c r="A181" s="30" t="n">
        <v>15</v>
      </c>
      <c r="B181" s="30" t="n">
        <v>176</v>
      </c>
      <c r="C181" s="30" t="inlineStr">
        <is>
          <t>Vinay / Shivani</t>
        </is>
      </c>
      <c r="D181" s="30" t="inlineStr">
        <is>
          <t>27</t>
        </is>
      </c>
      <c r="E181" s="30" t="inlineStr">
        <is>
          <t>Married</t>
        </is>
      </c>
      <c r="F181" s="30" t="inlineStr">
        <is>
          <t>Indian (ID 649427881116)</t>
        </is>
      </c>
      <c r="G181" s="30" t="n">
        <v>2</v>
      </c>
      <c r="H181" s="30" t="inlineStr">
        <is>
          <t>Naubasta</t>
        </is>
      </c>
      <c r="I181" s="30" t="n"/>
      <c r="J181" s="30" t="inlineStr">
        <is>
          <t>Kanpur</t>
        </is>
      </c>
      <c r="K181" s="30" t="inlineStr">
        <is>
          <t>Kanpur</t>
        </is>
      </c>
      <c r="L181" s="30" t="inlineStr">
        <is>
          <t>Visit</t>
        </is>
      </c>
      <c r="M181" s="30" t="n"/>
      <c r="N181" s="30" t="n"/>
      <c r="O181" s="30" t="n"/>
    </row>
    <row r="182">
      <c r="A182" s="30" t="n">
        <v>15</v>
      </c>
      <c r="B182" s="30" t="n">
        <v>177</v>
      </c>
      <c r="C182" s="30" t="inlineStr">
        <is>
          <t>Abhay / Anjali</t>
        </is>
      </c>
      <c r="D182" s="30" t="inlineStr">
        <is>
          <t>20 / 19</t>
        </is>
      </c>
      <c r="E182" s="30" t="inlineStr">
        <is>
          <t>Friend</t>
        </is>
      </c>
      <c r="F182" s="30" t="inlineStr">
        <is>
          <t>Indian (IDs 309719208445, 501274126550)</t>
        </is>
      </c>
      <c r="G182" s="30" t="n">
        <v>2</v>
      </c>
      <c r="H182" s="30" t="inlineStr">
        <is>
          <t>Dwivedi Nagar, Naubasta, Kanpur</t>
        </is>
      </c>
      <c r="I182" s="30" t="inlineStr">
        <is>
          <t>9696972862</t>
        </is>
      </c>
      <c r="J182" s="30" t="inlineStr">
        <is>
          <t>Kanpur</t>
        </is>
      </c>
      <c r="K182" s="30" t="inlineStr">
        <is>
          <t>Kanpur</t>
        </is>
      </c>
      <c r="L182" s="30" t="inlineStr">
        <is>
          <t>Visit</t>
        </is>
      </c>
      <c r="M182" s="30" t="inlineStr">
        <is>
          <t>24/2/25 3:55pm</t>
        </is>
      </c>
      <c r="N182" s="30" t="inlineStr">
        <is>
          <t>24/2/25</t>
        </is>
      </c>
      <c r="O182" s="30" t="inlineStr">
        <is>
          <t>205</t>
        </is>
      </c>
    </row>
    <row r="183">
      <c r="A183" s="30" t="n">
        <v>15</v>
      </c>
      <c r="B183" s="30" t="n">
        <v>178</v>
      </c>
      <c r="C183" s="30" t="inlineStr">
        <is>
          <t>Kartikey Agnihotri / Supriya Shukla / Prateek</t>
        </is>
      </c>
      <c r="D183" s="30" t="inlineStr">
        <is>
          <t>20 / 19</t>
        </is>
      </c>
      <c r="E183" s="30" t="inlineStr">
        <is>
          <t>Friend</t>
        </is>
      </c>
      <c r="F183" s="30" t="inlineStr">
        <is>
          <t>Indian (IDs 42880557368, 218675171589, 322133330620)</t>
        </is>
      </c>
      <c r="G183" s="30" t="n">
        <v>2</v>
      </c>
      <c r="H183" s="30" t="inlineStr">
        <is>
          <t>126/91 Block H, Govind Nagar, Kanpur / EWS 389</t>
        </is>
      </c>
      <c r="I183" s="30" t="inlineStr">
        <is>
          <t>8317064158</t>
        </is>
      </c>
      <c r="J183" s="30" t="inlineStr">
        <is>
          <t>Kanpur</t>
        </is>
      </c>
      <c r="K183" s="30" t="inlineStr">
        <is>
          <t>Kanpur</t>
        </is>
      </c>
      <c r="L183" s="30" t="inlineStr">
        <is>
          <t>Visit</t>
        </is>
      </c>
      <c r="M183" s="30" t="inlineStr">
        <is>
          <t>25/2/25</t>
        </is>
      </c>
      <c r="N183" s="30" t="inlineStr">
        <is>
          <t>25/2/25</t>
        </is>
      </c>
      <c r="O183" s="30" t="inlineStr">
        <is>
          <t>204</t>
        </is>
      </c>
    </row>
    <row r="184">
      <c r="A184" s="30" t="n">
        <v>15</v>
      </c>
      <c r="B184" s="30" t="n">
        <v>179</v>
      </c>
      <c r="C184" s="30" t="inlineStr">
        <is>
          <t>Mayank Verma / Swati Verma (Prachi Verma)</t>
        </is>
      </c>
      <c r="D184" s="30" t="inlineStr">
        <is>
          <t>20</t>
        </is>
      </c>
      <c r="E184" s="30" t="inlineStr">
        <is>
          <t>Married</t>
        </is>
      </c>
      <c r="F184" s="30" t="inlineStr">
        <is>
          <t>Indian (ID 312934000903)</t>
        </is>
      </c>
      <c r="G184" s="30" t="n">
        <v>2</v>
      </c>
      <c r="H184" s="30" t="inlineStr">
        <is>
          <t>121/39 C Shastri Nagar</t>
        </is>
      </c>
      <c r="I184" s="31" t="inlineStr">
        <is>
          <t>VERIFY 0630263901</t>
        </is>
      </c>
      <c r="J184" s="30" t="inlineStr">
        <is>
          <t>Kanpur</t>
        </is>
      </c>
      <c r="K184" s="30" t="inlineStr">
        <is>
          <t>Kanpur</t>
        </is>
      </c>
      <c r="L184" s="30" t="inlineStr">
        <is>
          <t>Visit</t>
        </is>
      </c>
      <c r="M184" s="30" t="inlineStr">
        <is>
          <t>25/2/25</t>
        </is>
      </c>
      <c r="N184" s="30" t="inlineStr">
        <is>
          <t>25/2/25</t>
        </is>
      </c>
      <c r="O184" s="30" t="inlineStr">
        <is>
          <t>205</t>
        </is>
      </c>
    </row>
    <row r="185">
      <c r="A185" s="30" t="n">
        <v>15</v>
      </c>
      <c r="B185" s="30" t="n">
        <v>180</v>
      </c>
      <c r="C185" s="30" t="inlineStr">
        <is>
          <t>Sandeep Gupta / Saloni Rathod</t>
        </is>
      </c>
      <c r="D185" s="30" t="inlineStr">
        <is>
          <t>20 / 21</t>
        </is>
      </c>
      <c r="E185" s="30" t="inlineStr">
        <is>
          <t>Friend</t>
        </is>
      </c>
      <c r="F185" s="30" t="inlineStr">
        <is>
          <t>Indian (IDs 858598889385, 438672829438)</t>
        </is>
      </c>
      <c r="G185" s="30" t="n">
        <v>2</v>
      </c>
      <c r="H185" s="30" t="inlineStr">
        <is>
          <t>K.P University Kanpur</t>
        </is>
      </c>
      <c r="I185" s="30" t="inlineStr">
        <is>
          <t>8957011856</t>
        </is>
      </c>
      <c r="J185" s="30" t="inlineStr">
        <is>
          <t>Kanpur</t>
        </is>
      </c>
      <c r="K185" s="30" t="inlineStr">
        <is>
          <t>Kanpur</t>
        </is>
      </c>
      <c r="L185" s="30" t="inlineStr">
        <is>
          <t>Visit</t>
        </is>
      </c>
      <c r="M185" s="30" t="inlineStr">
        <is>
          <t>25/2/25 12:17pm</t>
        </is>
      </c>
      <c r="N185" s="30" t="inlineStr">
        <is>
          <t>25/2/25</t>
        </is>
      </c>
      <c r="O185" s="30" t="n"/>
    </row>
    <row r="186">
      <c r="A186" s="30" t="n">
        <v>16</v>
      </c>
      <c r="B186" s="30" t="n">
        <v>181</v>
      </c>
      <c r="C186" s="30" t="inlineStr">
        <is>
          <t>Arsalan Malik / Ashi Singh</t>
        </is>
      </c>
      <c r="D186" s="30" t="inlineStr">
        <is>
          <t>18 / 18</t>
        </is>
      </c>
      <c r="E186" s="30" t="inlineStr">
        <is>
          <t>Friend</t>
        </is>
      </c>
      <c r="F186" s="30" t="inlineStr">
        <is>
          <t>India (IDs 630922610232, 970512693408)</t>
        </is>
      </c>
      <c r="G186" s="30" t="n">
        <v>2</v>
      </c>
      <c r="H186" s="30" t="inlineStr">
        <is>
          <t>125/92 H Block, Govind Nagar, Kanpur</t>
        </is>
      </c>
      <c r="I186" s="30" t="inlineStr">
        <is>
          <t>8468016697</t>
        </is>
      </c>
      <c r="J186" s="30" t="inlineStr">
        <is>
          <t>Kanpur</t>
        </is>
      </c>
      <c r="K186" s="30" t="inlineStr">
        <is>
          <t>Kanpur</t>
        </is>
      </c>
      <c r="L186" s="30" t="inlineStr">
        <is>
          <t>Visit</t>
        </is>
      </c>
      <c r="M186" s="30" t="inlineStr">
        <is>
          <t>25/2/25</t>
        </is>
      </c>
      <c r="N186" s="30" t="inlineStr">
        <is>
          <t>25/2/25</t>
        </is>
      </c>
      <c r="O186" s="30" t="inlineStr">
        <is>
          <t>204</t>
        </is>
      </c>
    </row>
    <row r="187">
      <c r="A187" s="30" t="n">
        <v>16</v>
      </c>
      <c r="B187" s="30" t="n">
        <v>182</v>
      </c>
      <c r="C187" s="30" t="inlineStr">
        <is>
          <t>Zishan Ahmed / Rabiya Khan</t>
        </is>
      </c>
      <c r="D187" s="30" t="inlineStr">
        <is>
          <t>42 / 42</t>
        </is>
      </c>
      <c r="E187" s="30" t="inlineStr">
        <is>
          <t>Friend</t>
        </is>
      </c>
      <c r="F187" s="30" t="inlineStr">
        <is>
          <t>Indian (IDs 438859390192, 794868564596)</t>
        </is>
      </c>
      <c r="G187" s="30" t="n">
        <v>2</v>
      </c>
      <c r="H187" s="30" t="inlineStr">
        <is>
          <t>117/84 P Block, Chitkari Nagar, Kakadeo, Kanpur</t>
        </is>
      </c>
      <c r="I187" s="30" t="inlineStr">
        <is>
          <t>9696911758</t>
        </is>
      </c>
      <c r="J187" s="30" t="inlineStr">
        <is>
          <t>Kanpur</t>
        </is>
      </c>
      <c r="K187" s="30" t="inlineStr">
        <is>
          <t>Kanpur</t>
        </is>
      </c>
      <c r="L187" s="30" t="inlineStr">
        <is>
          <t>Visit</t>
        </is>
      </c>
      <c r="M187" s="30" t="inlineStr">
        <is>
          <t>25/2/25</t>
        </is>
      </c>
      <c r="N187" s="30" t="inlineStr">
        <is>
          <t>25/2/25</t>
        </is>
      </c>
      <c r="O187" s="30" t="inlineStr">
        <is>
          <t>201</t>
        </is>
      </c>
    </row>
    <row r="188">
      <c r="A188" s="30" t="n">
        <v>16</v>
      </c>
      <c r="B188" s="30" t="n">
        <v>183</v>
      </c>
      <c r="C188" s="30" t="inlineStr">
        <is>
          <t>Shivam</t>
        </is>
      </c>
      <c r="D188" s="30" t="inlineStr">
        <is>
          <t>24</t>
        </is>
      </c>
      <c r="E188" s="30" t="inlineStr">
        <is>
          <t>Family</t>
        </is>
      </c>
      <c r="F188" s="30" t="inlineStr">
        <is>
          <t>Indian (ID 944574458976)</t>
        </is>
      </c>
      <c r="G188" s="30" t="n">
        <v>2</v>
      </c>
      <c r="H188" s="30" t="inlineStr">
        <is>
          <t>F-77 S Gujaini</t>
        </is>
      </c>
      <c r="I188" s="30" t="inlineStr">
        <is>
          <t>6393445417</t>
        </is>
      </c>
      <c r="J188" s="30" t="inlineStr">
        <is>
          <t>Kanpur</t>
        </is>
      </c>
      <c r="K188" s="30" t="inlineStr">
        <is>
          <t>Kanpur</t>
        </is>
      </c>
      <c r="L188" s="30" t="inlineStr">
        <is>
          <t>Visit</t>
        </is>
      </c>
      <c r="M188" s="30" t="inlineStr">
        <is>
          <t>27/2/25</t>
        </is>
      </c>
      <c r="N188" s="30" t="inlineStr">
        <is>
          <t>27/2/25</t>
        </is>
      </c>
      <c r="O188" s="30" t="inlineStr">
        <is>
          <t>203</t>
        </is>
      </c>
    </row>
    <row r="189">
      <c r="A189" s="30" t="n">
        <v>16</v>
      </c>
      <c r="B189" s="30" t="n">
        <v>184</v>
      </c>
      <c r="C189" s="30" t="inlineStr">
        <is>
          <t>Payal</t>
        </is>
      </c>
      <c r="D189" s="30" t="inlineStr">
        <is>
          <t>23</t>
        </is>
      </c>
      <c r="E189" s="30" t="inlineStr">
        <is>
          <t>Family</t>
        </is>
      </c>
      <c r="F189" s="30" t="inlineStr">
        <is>
          <t>Indian (ID 678227330687)</t>
        </is>
      </c>
      <c r="G189" s="30" t="n">
        <v>2</v>
      </c>
      <c r="H189" s="30" t="inlineStr">
        <is>
          <t>K-75 Gujaini</t>
        </is>
      </c>
      <c r="I189" s="30" t="inlineStr">
        <is>
          <t>6393445417</t>
        </is>
      </c>
      <c r="J189" s="30" t="inlineStr">
        <is>
          <t>Kanpur</t>
        </is>
      </c>
      <c r="K189" s="30" t="inlineStr">
        <is>
          <t>Kanpur</t>
        </is>
      </c>
      <c r="L189" s="30" t="inlineStr">
        <is>
          <t>Visit</t>
        </is>
      </c>
      <c r="M189" s="30" t="inlineStr">
        <is>
          <t>27/2/25</t>
        </is>
      </c>
      <c r="N189" s="30" t="inlineStr">
        <is>
          <t>27/2/25</t>
        </is>
      </c>
      <c r="O189" s="30" t="inlineStr">
        <is>
          <t>203</t>
        </is>
      </c>
    </row>
    <row r="190">
      <c r="A190" s="30" t="n">
        <v>16</v>
      </c>
      <c r="B190" s="30" t="n">
        <v>185</v>
      </c>
      <c r="C190" s="30" t="inlineStr">
        <is>
          <t>Ankit Bajpai / Lalli</t>
        </is>
      </c>
      <c r="D190" s="30" t="inlineStr">
        <is>
          <t>20 / 20</t>
        </is>
      </c>
      <c r="E190" s="30" t="inlineStr">
        <is>
          <t>Friend</t>
        </is>
      </c>
      <c r="F190" s="30" t="inlineStr">
        <is>
          <t>Indian (IDs 6178116695, 7921725767)</t>
        </is>
      </c>
      <c r="G190" s="30" t="n">
        <v>2</v>
      </c>
      <c r="H190" s="30" t="inlineStr">
        <is>
          <t>128/H Block / 128/U Block</t>
        </is>
      </c>
      <c r="I190" s="30" t="inlineStr">
        <is>
          <t>9519156931</t>
        </is>
      </c>
      <c r="J190" s="30" t="inlineStr">
        <is>
          <t>Kanpur</t>
        </is>
      </c>
      <c r="K190" s="30" t="inlineStr">
        <is>
          <t>Kanpur</t>
        </is>
      </c>
      <c r="L190" s="30" t="inlineStr">
        <is>
          <t>Visit</t>
        </is>
      </c>
      <c r="M190" s="30" t="inlineStr">
        <is>
          <t>27/2/25 1:25pm</t>
        </is>
      </c>
      <c r="N190" s="30" t="n"/>
      <c r="O190" s="30" t="inlineStr">
        <is>
          <t>201</t>
        </is>
      </c>
    </row>
    <row r="191">
      <c r="A191" s="30" t="n">
        <v>16</v>
      </c>
      <c r="B191" s="30" t="n">
        <v>186</v>
      </c>
      <c r="C191" s="30" t="inlineStr">
        <is>
          <t>Amit Pal / Nidhi (Hindi)</t>
        </is>
      </c>
      <c r="D191" s="30" t="inlineStr">
        <is>
          <t>30 / 30</t>
        </is>
      </c>
      <c r="E191" s="30" t="n"/>
      <c r="F191" s="30" t="inlineStr">
        <is>
          <t>Indian (IDs 899278446102, 227228233457)</t>
        </is>
      </c>
      <c r="G191" s="30" t="n">
        <v>2</v>
      </c>
      <c r="H191" s="30" t="inlineStr">
        <is>
          <t>(Hindi, unclear)</t>
        </is>
      </c>
      <c r="I191" s="31" t="inlineStr">
        <is>
          <t>VERIFY 7786031730</t>
        </is>
      </c>
      <c r="J191" s="30" t="inlineStr">
        <is>
          <t>Kanpur</t>
        </is>
      </c>
      <c r="K191" s="30" t="inlineStr">
        <is>
          <t>Kanpur</t>
        </is>
      </c>
      <c r="L191" s="30" t="inlineStr">
        <is>
          <t>Visit</t>
        </is>
      </c>
      <c r="M191" s="30" t="inlineStr">
        <is>
          <t>28/2/25</t>
        </is>
      </c>
      <c r="N191" s="30" t="n"/>
      <c r="O191" s="30" t="inlineStr">
        <is>
          <t>201</t>
        </is>
      </c>
    </row>
    <row r="192">
      <c r="A192" s="30" t="n">
        <v>16</v>
      </c>
      <c r="B192" s="30" t="n">
        <v>187</v>
      </c>
      <c r="C192" s="30" t="inlineStr">
        <is>
          <t>Alok / Aarti</t>
        </is>
      </c>
      <c r="D192" s="30" t="inlineStr">
        <is>
          <t>21 / 25</t>
        </is>
      </c>
      <c r="E192" s="30" t="inlineStr">
        <is>
          <t>Family</t>
        </is>
      </c>
      <c r="F192" s="30" t="inlineStr">
        <is>
          <t>Indian (IDs 869854011974, 245808476904)</t>
        </is>
      </c>
      <c r="G192" s="30" t="n">
        <v>2</v>
      </c>
      <c r="H192" s="30" t="inlineStr">
        <is>
          <t>-</t>
        </is>
      </c>
      <c r="I192" s="30" t="n"/>
      <c r="J192" s="30" t="inlineStr">
        <is>
          <t>Kanpur</t>
        </is>
      </c>
      <c r="K192" s="30" t="inlineStr">
        <is>
          <t>Kanpur</t>
        </is>
      </c>
      <c r="L192" s="30" t="inlineStr">
        <is>
          <t>Visit</t>
        </is>
      </c>
      <c r="M192" s="30" t="inlineStr">
        <is>
          <t>28/2/25 1:15pm</t>
        </is>
      </c>
      <c r="N192" s="30" t="n"/>
      <c r="O192" s="30" t="inlineStr">
        <is>
          <t>202</t>
        </is>
      </c>
    </row>
    <row r="193">
      <c r="A193" s="30" t="n">
        <v>16</v>
      </c>
      <c r="B193" s="30" t="n">
        <v>188</v>
      </c>
      <c r="C193" s="30" t="inlineStr">
        <is>
          <t>(struck-out entry)</t>
        </is>
      </c>
      <c r="D193" s="30" t="inlineStr">
        <is>
          <t>21</t>
        </is>
      </c>
      <c r="E193" s="30" t="n"/>
      <c r="F193" s="30" t="n"/>
      <c r="G193" s="30" t="n"/>
      <c r="H193" s="30" t="n"/>
      <c r="I193" s="30" t="n"/>
      <c r="J193" s="30" t="n"/>
      <c r="K193" s="30" t="n"/>
      <c r="L193" s="30" t="n"/>
      <c r="M193" s="30" t="n"/>
      <c r="N193" s="30" t="n"/>
      <c r="O193" s="30" t="n"/>
    </row>
    <row r="194">
      <c r="A194" s="30" t="n">
        <v>16</v>
      </c>
      <c r="B194" s="30" t="n">
        <v>189</v>
      </c>
      <c r="C194" s="30" t="inlineStr">
        <is>
          <t>Anil Pal / Anamika</t>
        </is>
      </c>
      <c r="D194" s="30" t="inlineStr">
        <is>
          <t>24 / 21</t>
        </is>
      </c>
      <c r="E194" s="30" t="inlineStr">
        <is>
          <t>Friend</t>
        </is>
      </c>
      <c r="F194" s="30" t="inlineStr">
        <is>
          <t>Indian (IDs 881719680996, 926132457542)</t>
        </is>
      </c>
      <c r="G194" s="30" t="n">
        <v>2</v>
      </c>
      <c r="H194" s="30" t="inlineStr">
        <is>
          <t>Jarauli Phase-2</t>
        </is>
      </c>
      <c r="I194" s="30" t="inlineStr">
        <is>
          <t>7380621774</t>
        </is>
      </c>
      <c r="J194" s="30" t="inlineStr">
        <is>
          <t>Kanpur</t>
        </is>
      </c>
      <c r="K194" s="30" t="inlineStr">
        <is>
          <t>Kanpur</t>
        </is>
      </c>
      <c r="L194" s="30" t="inlineStr">
        <is>
          <t>Visit</t>
        </is>
      </c>
      <c r="M194" s="30" t="inlineStr">
        <is>
          <t>2/3/25 11:36am</t>
        </is>
      </c>
      <c r="N194" s="30" t="n"/>
      <c r="O194" s="30" t="n"/>
    </row>
    <row r="195">
      <c r="A195" s="30" t="n">
        <v>16</v>
      </c>
      <c r="B195" s="30" t="n">
        <v>190</v>
      </c>
      <c r="C195" s="30" t="inlineStr">
        <is>
          <t>Ashish / Aditi</t>
        </is>
      </c>
      <c r="D195" s="30" t="inlineStr">
        <is>
          <t>26 / 20</t>
        </is>
      </c>
      <c r="E195" s="30" t="inlineStr">
        <is>
          <t>Friend</t>
        </is>
      </c>
      <c r="F195" s="30" t="inlineStr">
        <is>
          <t>Indian (PAN CWHPK6434H, ID 647520787492)</t>
        </is>
      </c>
      <c r="G195" s="30" t="n">
        <v>2</v>
      </c>
      <c r="H195" s="30" t="inlineStr">
        <is>
          <t>Pitampura Delhi</t>
        </is>
      </c>
      <c r="I195" s="31" t="inlineStr">
        <is>
          <t>VERIFY 9560087542</t>
        </is>
      </c>
      <c r="J195" s="30" t="inlineStr">
        <is>
          <t>Delhi</t>
        </is>
      </c>
      <c r="K195" s="30" t="inlineStr">
        <is>
          <t>Delhi</t>
        </is>
      </c>
      <c r="L195" s="30" t="inlineStr">
        <is>
          <t>Visit</t>
        </is>
      </c>
      <c r="M195" s="30" t="inlineStr">
        <is>
          <t>2/3/25 12:30pm</t>
        </is>
      </c>
      <c r="N195" s="30" t="inlineStr">
        <is>
          <t>2/3/25 4:30pm</t>
        </is>
      </c>
      <c r="O195" s="30" t="inlineStr">
        <is>
          <t>201</t>
        </is>
      </c>
    </row>
    <row r="196">
      <c r="A196" s="30" t="n">
        <v>16</v>
      </c>
      <c r="B196" s="30" t="n">
        <v>191</v>
      </c>
      <c r="C196" s="30" t="inlineStr">
        <is>
          <t>Pawan / Sushma (Hindi)</t>
        </is>
      </c>
      <c r="D196" s="30" t="n"/>
      <c r="E196" s="30" t="n"/>
      <c r="F196" s="30" t="inlineStr">
        <is>
          <t>Indian</t>
        </is>
      </c>
      <c r="G196" s="30" t="n">
        <v>2</v>
      </c>
      <c r="H196" s="30" t="inlineStr">
        <is>
          <t>-</t>
        </is>
      </c>
      <c r="I196" s="30" t="n"/>
      <c r="J196" s="30" t="inlineStr">
        <is>
          <t>Kanpur</t>
        </is>
      </c>
      <c r="K196" s="30" t="inlineStr">
        <is>
          <t>Kanpur</t>
        </is>
      </c>
      <c r="L196" s="30" t="inlineStr">
        <is>
          <t>Visit</t>
        </is>
      </c>
      <c r="M196" s="30" t="n"/>
      <c r="N196" s="30" t="n"/>
      <c r="O196" s="30" t="n"/>
    </row>
    <row r="197">
      <c r="A197" s="30" t="n">
        <v>16</v>
      </c>
      <c r="B197" s="30" t="n">
        <v>192</v>
      </c>
      <c r="C197" s="30" t="inlineStr">
        <is>
          <t>(Hindi names, unclear)</t>
        </is>
      </c>
      <c r="D197" s="30" t="n"/>
      <c r="E197" s="30" t="n"/>
      <c r="F197" s="30" t="inlineStr">
        <is>
          <t>Indian</t>
        </is>
      </c>
      <c r="G197" s="30" t="n">
        <v>2</v>
      </c>
      <c r="H197" s="30" t="inlineStr">
        <is>
          <t>-</t>
        </is>
      </c>
      <c r="I197" s="30" t="n"/>
      <c r="J197" s="30" t="inlineStr">
        <is>
          <t>Kanpur</t>
        </is>
      </c>
      <c r="K197" s="30" t="inlineStr">
        <is>
          <t>Kanpur</t>
        </is>
      </c>
      <c r="L197" s="30" t="inlineStr">
        <is>
          <t>Visit</t>
        </is>
      </c>
      <c r="M197" s="30" t="n"/>
      <c r="N197" s="30" t="n"/>
      <c r="O197" s="30" t="n"/>
    </row>
    <row r="198">
      <c r="A198" s="30" t="n">
        <v>17</v>
      </c>
      <c r="B198" s="30" t="n">
        <v>193</v>
      </c>
      <c r="C198" s="30" t="inlineStr">
        <is>
          <t>Shivam / Khushi</t>
        </is>
      </c>
      <c r="D198" s="30" t="inlineStr">
        <is>
          <t>22 / 20</t>
        </is>
      </c>
      <c r="E198" s="30" t="inlineStr">
        <is>
          <t>Family</t>
        </is>
      </c>
      <c r="F198" s="30" t="inlineStr">
        <is>
          <t>Indian (IDs 31143833673, 798509549974)</t>
        </is>
      </c>
      <c r="G198" s="30" t="n">
        <v>2</v>
      </c>
      <c r="H198" s="30" t="inlineStr">
        <is>
          <t>Tikonia Kanpur</t>
        </is>
      </c>
      <c r="I198" s="30" t="inlineStr">
        <is>
          <t>8081161716</t>
        </is>
      </c>
      <c r="J198" s="30" t="inlineStr">
        <is>
          <t>Kanpur</t>
        </is>
      </c>
      <c r="K198" s="30" t="inlineStr">
        <is>
          <t>Kanpur</t>
        </is>
      </c>
      <c r="L198" s="30" t="inlineStr">
        <is>
          <t>Visit</t>
        </is>
      </c>
      <c r="M198" s="30" t="inlineStr">
        <is>
          <t>3/3/25 12:09pm</t>
        </is>
      </c>
      <c r="N198" s="30" t="inlineStr">
        <is>
          <t>3/3/25</t>
        </is>
      </c>
      <c r="O198" s="30" t="inlineStr">
        <is>
          <t>202</t>
        </is>
      </c>
    </row>
    <row r="199">
      <c r="A199" s="30" t="n">
        <v>17</v>
      </c>
      <c r="B199" s="30" t="n">
        <v>194</v>
      </c>
      <c r="C199" s="30" t="inlineStr">
        <is>
          <t>Aditya / Sanjana</t>
        </is>
      </c>
      <c r="D199" s="30" t="inlineStr">
        <is>
          <t>21 / 19</t>
        </is>
      </c>
      <c r="E199" s="30" t="inlineStr">
        <is>
          <t>Friend</t>
        </is>
      </c>
      <c r="F199" s="30" t="inlineStr">
        <is>
          <t>Indian (IDs 0701447832, 3507994274)</t>
        </is>
      </c>
      <c r="G199" s="30" t="n">
        <v>2</v>
      </c>
      <c r="H199" s="30" t="inlineStr">
        <is>
          <t>Awas Vikas / Naubasta</t>
        </is>
      </c>
      <c r="I199" s="31" t="inlineStr">
        <is>
          <t>VERIFY 8115707161</t>
        </is>
      </c>
      <c r="J199" s="30" t="inlineStr">
        <is>
          <t>Kanpur</t>
        </is>
      </c>
      <c r="K199" s="30" t="inlineStr">
        <is>
          <t>Kanpur</t>
        </is>
      </c>
      <c r="L199" s="30" t="inlineStr">
        <is>
          <t>Visit</t>
        </is>
      </c>
      <c r="M199" s="30" t="inlineStr">
        <is>
          <t>3/3/25 1:33pm</t>
        </is>
      </c>
      <c r="N199" s="30" t="inlineStr">
        <is>
          <t>3/3/25</t>
        </is>
      </c>
      <c r="O199" s="30" t="inlineStr">
        <is>
          <t>203</t>
        </is>
      </c>
    </row>
    <row r="200">
      <c r="A200" s="30" t="n">
        <v>17</v>
      </c>
      <c r="B200" s="30" t="n">
        <v>195</v>
      </c>
      <c r="C200" s="30" t="inlineStr">
        <is>
          <t>Ankit Kumar / Pooja Soni</t>
        </is>
      </c>
      <c r="D200" s="30" t="inlineStr">
        <is>
          <t>21 / 22</t>
        </is>
      </c>
      <c r="E200" s="30" t="inlineStr">
        <is>
          <t>Family</t>
        </is>
      </c>
      <c r="F200" s="30" t="inlineStr">
        <is>
          <t>Indian (IDs 85304192434, 261504139219)</t>
        </is>
      </c>
      <c r="G200" s="30" t="n">
        <v>2</v>
      </c>
      <c r="H200" s="30" t="inlineStr">
        <is>
          <t>Barra</t>
        </is>
      </c>
      <c r="I200" s="31" t="inlineStr">
        <is>
          <t>VERIFY 6386680360</t>
        </is>
      </c>
      <c r="J200" s="30" t="inlineStr">
        <is>
          <t>Kanpur</t>
        </is>
      </c>
      <c r="K200" s="30" t="inlineStr">
        <is>
          <t>Kanpur</t>
        </is>
      </c>
      <c r="L200" s="30" t="inlineStr">
        <is>
          <t>Visit</t>
        </is>
      </c>
      <c r="M200" s="30" t="inlineStr">
        <is>
          <t>4/3/25 10:00am</t>
        </is>
      </c>
      <c r="N200" s="30" t="inlineStr">
        <is>
          <t>4/3/25</t>
        </is>
      </c>
      <c r="O200" s="30" t="inlineStr">
        <is>
          <t>201</t>
        </is>
      </c>
    </row>
    <row r="201">
      <c r="A201" s="30" t="n">
        <v>17</v>
      </c>
      <c r="B201" s="30" t="n">
        <v>196</v>
      </c>
      <c r="C201" s="30" t="inlineStr">
        <is>
          <t>Bablu / Shalu</t>
        </is>
      </c>
      <c r="D201" s="30" t="inlineStr">
        <is>
          <t>28 / 25</t>
        </is>
      </c>
      <c r="E201" s="30" t="inlineStr">
        <is>
          <t>Family</t>
        </is>
      </c>
      <c r="F201" s="30" t="inlineStr">
        <is>
          <t>Indian (IDs 665585058219, 846323818933)</t>
        </is>
      </c>
      <c r="G201" s="30" t="n">
        <v>2</v>
      </c>
      <c r="H201" s="30" t="inlineStr">
        <is>
          <t>Barra 2</t>
        </is>
      </c>
      <c r="I201" s="31" t="inlineStr">
        <is>
          <t>VERIFY 8283206185</t>
        </is>
      </c>
      <c r="J201" s="30" t="inlineStr">
        <is>
          <t>Kanpur</t>
        </is>
      </c>
      <c r="K201" s="30" t="inlineStr">
        <is>
          <t>Kanpur</t>
        </is>
      </c>
      <c r="L201" s="30" t="inlineStr">
        <is>
          <t>Visit</t>
        </is>
      </c>
      <c r="M201" s="30" t="inlineStr">
        <is>
          <t>4/3/25 1:50pm</t>
        </is>
      </c>
      <c r="N201" s="30" t="inlineStr">
        <is>
          <t>4/3/25</t>
        </is>
      </c>
      <c r="O201" s="30" t="n"/>
    </row>
    <row r="202">
      <c r="A202" s="30" t="n">
        <v>17</v>
      </c>
      <c r="B202" s="30" t="n">
        <v>197</v>
      </c>
      <c r="C202" s="30" t="inlineStr">
        <is>
          <t>Akshat</t>
        </is>
      </c>
      <c r="D202" s="30" t="inlineStr">
        <is>
          <t>22</t>
        </is>
      </c>
      <c r="E202" s="30" t="inlineStr">
        <is>
          <t>Family</t>
        </is>
      </c>
      <c r="F202" s="30" t="inlineStr">
        <is>
          <t>Indian (ID 411761069505)</t>
        </is>
      </c>
      <c r="G202" s="30" t="n">
        <v>2</v>
      </c>
      <c r="H202" s="30" t="inlineStr">
        <is>
          <t>Gujaini</t>
        </is>
      </c>
      <c r="I202" s="31" t="inlineStr">
        <is>
          <t>VERIFY 8318247938</t>
        </is>
      </c>
      <c r="J202" s="30" t="inlineStr">
        <is>
          <t>Kanpur</t>
        </is>
      </c>
      <c r="K202" s="30" t="inlineStr">
        <is>
          <t>Kanpur</t>
        </is>
      </c>
      <c r="L202" s="30" t="inlineStr">
        <is>
          <t>Visit</t>
        </is>
      </c>
      <c r="M202" s="30" t="inlineStr">
        <is>
          <t>5/3/25 1:00pm</t>
        </is>
      </c>
      <c r="N202" s="30" t="inlineStr">
        <is>
          <t>5/3/25</t>
        </is>
      </c>
      <c r="O202" s="30" t="inlineStr">
        <is>
          <t>202</t>
        </is>
      </c>
    </row>
    <row r="203">
      <c r="A203" s="30" t="n">
        <v>17</v>
      </c>
      <c r="B203" s="30" t="n">
        <v>198</v>
      </c>
      <c r="C203" s="30" t="inlineStr">
        <is>
          <t>Priyanshi</t>
        </is>
      </c>
      <c r="D203" s="30" t="inlineStr">
        <is>
          <t>19</t>
        </is>
      </c>
      <c r="E203" s="30" t="inlineStr">
        <is>
          <t>Family</t>
        </is>
      </c>
      <c r="F203" s="30" t="inlineStr">
        <is>
          <t>Indian (ID 24291528427)</t>
        </is>
      </c>
      <c r="G203" s="30" t="n">
        <v>2</v>
      </c>
      <c r="H203" s="30" t="inlineStr">
        <is>
          <t>Gujaini</t>
        </is>
      </c>
      <c r="I203" s="31" t="inlineStr">
        <is>
          <t>VERIFY 8318247938</t>
        </is>
      </c>
      <c r="J203" s="30" t="inlineStr">
        <is>
          <t>Kanpur</t>
        </is>
      </c>
      <c r="K203" s="30" t="inlineStr">
        <is>
          <t>Kanpur</t>
        </is>
      </c>
      <c r="L203" s="30" t="inlineStr">
        <is>
          <t>Visit</t>
        </is>
      </c>
      <c r="M203" s="30" t="inlineStr">
        <is>
          <t>5/3/25 1:00pm</t>
        </is>
      </c>
      <c r="N203" s="30" t="inlineStr">
        <is>
          <t>5/3/25</t>
        </is>
      </c>
      <c r="O203" s="30" t="inlineStr">
        <is>
          <t>202</t>
        </is>
      </c>
    </row>
    <row r="204">
      <c r="A204" s="30" t="n">
        <v>17</v>
      </c>
      <c r="B204" s="30" t="n">
        <v>199</v>
      </c>
      <c r="C204" s="30" t="inlineStr">
        <is>
          <t>Priyanshu</t>
        </is>
      </c>
      <c r="D204" s="30" t="n"/>
      <c r="E204" s="30" t="n"/>
      <c r="F204" s="30" t="inlineStr">
        <is>
          <t>Indian</t>
        </is>
      </c>
      <c r="G204" s="30" t="n"/>
      <c r="H204" s="30" t="inlineStr">
        <is>
          <t>-</t>
        </is>
      </c>
      <c r="I204" s="30" t="n"/>
      <c r="J204" s="30" t="inlineStr">
        <is>
          <t>Kanpur</t>
        </is>
      </c>
      <c r="K204" s="30" t="inlineStr">
        <is>
          <t>Kanpur</t>
        </is>
      </c>
      <c r="L204" s="30" t="inlineStr">
        <is>
          <t>Visit</t>
        </is>
      </c>
      <c r="M204" s="30" t="n"/>
      <c r="N204" s="30" t="inlineStr">
        <is>
          <t>6/3/25</t>
        </is>
      </c>
      <c r="O204" s="30" t="n"/>
    </row>
    <row r="205">
      <c r="A205" s="30" t="n">
        <v>17</v>
      </c>
      <c r="B205" s="30" t="n">
        <v>200</v>
      </c>
      <c r="C205" s="30" t="inlineStr">
        <is>
          <t>Avinash / Saloni</t>
        </is>
      </c>
      <c r="D205" s="30" t="n"/>
      <c r="E205" s="30" t="inlineStr">
        <is>
          <t>Family</t>
        </is>
      </c>
      <c r="F205" s="30" t="inlineStr">
        <is>
          <t>Indian (IDs 980063460854, 59298412..)</t>
        </is>
      </c>
      <c r="G205" s="30" t="n">
        <v>2</v>
      </c>
      <c r="H205" s="30" t="inlineStr">
        <is>
          <t>Pipora</t>
        </is>
      </c>
      <c r="I205" s="31" t="inlineStr">
        <is>
          <t>VERIFY 7521922052</t>
        </is>
      </c>
      <c r="J205" s="30" t="inlineStr">
        <is>
          <t>Kanpur</t>
        </is>
      </c>
      <c r="K205" s="30" t="inlineStr">
        <is>
          <t>Kanpur</t>
        </is>
      </c>
      <c r="L205" s="30" t="inlineStr">
        <is>
          <t>Visit</t>
        </is>
      </c>
      <c r="M205" s="30" t="inlineStr">
        <is>
          <t>6/3/25 8:00</t>
        </is>
      </c>
      <c r="N205" s="30" t="inlineStr">
        <is>
          <t>6/3/25</t>
        </is>
      </c>
      <c r="O205" s="30" t="inlineStr">
        <is>
          <t>204</t>
        </is>
      </c>
    </row>
    <row r="206">
      <c r="A206" s="30" t="n">
        <v>17</v>
      </c>
      <c r="B206" s="30" t="n">
        <v>201</v>
      </c>
      <c r="C206" s="30" t="inlineStr">
        <is>
          <t>Pawan / Sushma (Hindi)</t>
        </is>
      </c>
      <c r="D206" s="30" t="inlineStr">
        <is>
          <t>24 / 18</t>
        </is>
      </c>
      <c r="E206" s="30" t="inlineStr">
        <is>
          <t>Family</t>
        </is>
      </c>
      <c r="F206" s="30" t="inlineStr">
        <is>
          <t>Indian (IDs 803640962463, 839702701620)</t>
        </is>
      </c>
      <c r="G206" s="30" t="n">
        <v>2</v>
      </c>
      <c r="H206" s="30" t="inlineStr">
        <is>
          <t>Barra-2</t>
        </is>
      </c>
      <c r="I206" s="30" t="inlineStr">
        <is>
          <t>7388745618</t>
        </is>
      </c>
      <c r="J206" s="30" t="inlineStr">
        <is>
          <t>Kanpur</t>
        </is>
      </c>
      <c r="K206" s="30" t="inlineStr">
        <is>
          <t>Kanpur</t>
        </is>
      </c>
      <c r="L206" s="30" t="inlineStr">
        <is>
          <t>Visit</t>
        </is>
      </c>
      <c r="M206" s="30" t="inlineStr">
        <is>
          <t>7/3/25 12:15pm</t>
        </is>
      </c>
      <c r="N206" s="30" t="inlineStr">
        <is>
          <t>7/3/25</t>
        </is>
      </c>
      <c r="O206" s="30" t="inlineStr">
        <is>
          <t>206</t>
        </is>
      </c>
    </row>
    <row r="207">
      <c r="A207" s="30" t="n">
        <v>17</v>
      </c>
      <c r="B207" s="30" t="n">
        <v>202</v>
      </c>
      <c r="C207" s="30" t="inlineStr">
        <is>
          <t>Pawan Kumar / Puja</t>
        </is>
      </c>
      <c r="D207" s="30" t="inlineStr">
        <is>
          <t>39 / 38</t>
        </is>
      </c>
      <c r="E207" s="30" t="inlineStr">
        <is>
          <t>Family</t>
        </is>
      </c>
      <c r="F207" s="30" t="inlineStr">
        <is>
          <t>Indian (ID 959824095703)</t>
        </is>
      </c>
      <c r="G207" s="30" t="n">
        <v>2</v>
      </c>
      <c r="H207" s="30" t="inlineStr">
        <is>
          <t>Auraiya</t>
        </is>
      </c>
      <c r="I207" s="30" t="inlineStr">
        <is>
          <t>8218905563</t>
        </is>
      </c>
      <c r="J207" s="30" t="inlineStr">
        <is>
          <t>Kanpur</t>
        </is>
      </c>
      <c r="K207" s="30" t="inlineStr">
        <is>
          <t>Kanpur</t>
        </is>
      </c>
      <c r="L207" s="30" t="inlineStr">
        <is>
          <t>Visit</t>
        </is>
      </c>
      <c r="M207" s="30" t="inlineStr">
        <is>
          <t>8/3/25 4:15pm</t>
        </is>
      </c>
      <c r="N207" s="30" t="inlineStr">
        <is>
          <t>8/3/25 6:00pm</t>
        </is>
      </c>
      <c r="O207" s="30" t="n"/>
    </row>
    <row r="208">
      <c r="A208" s="30" t="n">
        <v>17</v>
      </c>
      <c r="B208" s="30" t="n">
        <v>203</v>
      </c>
      <c r="C208" s="30" t="inlineStr">
        <is>
          <t>Seja / Om Ji</t>
        </is>
      </c>
      <c r="D208" s="30" t="inlineStr">
        <is>
          <t>22 / 31</t>
        </is>
      </c>
      <c r="E208" s="30" t="inlineStr">
        <is>
          <t>Family</t>
        </is>
      </c>
      <c r="F208" s="30" t="inlineStr">
        <is>
          <t>Indian (IDs 946570643294, 567576067105)</t>
        </is>
      </c>
      <c r="G208" s="30" t="n">
        <v>2</v>
      </c>
      <c r="H208" s="30" t="inlineStr">
        <is>
          <t>Bidhnu Kanpur</t>
        </is>
      </c>
      <c r="I208" s="31" t="inlineStr">
        <is>
          <t>VERIFY 9318412027</t>
        </is>
      </c>
      <c r="J208" s="30" t="inlineStr">
        <is>
          <t>Kanpur</t>
        </is>
      </c>
      <c r="K208" s="30" t="inlineStr">
        <is>
          <t>Kanpur</t>
        </is>
      </c>
      <c r="L208" s="30" t="inlineStr">
        <is>
          <t>Visit</t>
        </is>
      </c>
      <c r="M208" s="30" t="n"/>
      <c r="N208" s="30" t="n"/>
      <c r="O208" s="30" t="n"/>
    </row>
    <row r="209">
      <c r="A209" s="30" t="n">
        <v>17</v>
      </c>
      <c r="B209" s="30" t="n">
        <v>204</v>
      </c>
      <c r="C209" s="30" t="inlineStr">
        <is>
          <t>Yuvraj Singh / Damini</t>
        </is>
      </c>
      <c r="D209" s="30" t="inlineStr">
        <is>
          <t>26 / 25</t>
        </is>
      </c>
      <c r="E209" s="30" t="inlineStr">
        <is>
          <t>Family</t>
        </is>
      </c>
      <c r="F209" s="30" t="inlineStr">
        <is>
          <t>Indian (IDs 915934694454, 251506776870)</t>
        </is>
      </c>
      <c r="G209" s="30" t="n">
        <v>2</v>
      </c>
      <c r="H209" s="30" t="inlineStr">
        <is>
          <t>Bhognipur Kanpur Dehat</t>
        </is>
      </c>
      <c r="I209" s="30" t="inlineStr">
        <is>
          <t>7618059070</t>
        </is>
      </c>
      <c r="J209" s="30" t="inlineStr">
        <is>
          <t>Kanpur</t>
        </is>
      </c>
      <c r="K209" s="30" t="inlineStr">
        <is>
          <t>Kanpur</t>
        </is>
      </c>
      <c r="L209" s="30" t="inlineStr">
        <is>
          <t>Visit</t>
        </is>
      </c>
      <c r="M209" s="30" t="inlineStr">
        <is>
          <t>9/3/25 1:25pm</t>
        </is>
      </c>
      <c r="N209" s="30" t="inlineStr">
        <is>
          <t>9/3/25</t>
        </is>
      </c>
      <c r="O209" s="30" t="n"/>
    </row>
    <row r="210">
      <c r="A210" s="30" t="n">
        <v>18</v>
      </c>
      <c r="B210" s="30" t="n">
        <v>205</v>
      </c>
      <c r="C210" s="30" t="inlineStr">
        <is>
          <t>(Hindi) Gautam / Geeta</t>
        </is>
      </c>
      <c r="D210" s="30" t="inlineStr">
        <is>
          <t>- / 26</t>
        </is>
      </c>
      <c r="E210" s="30" t="inlineStr">
        <is>
          <t>Family</t>
        </is>
      </c>
      <c r="F210" s="30" t="inlineStr">
        <is>
          <t>Indian (IDs 934351704102, 638996798511)</t>
        </is>
      </c>
      <c r="G210" s="30" t="n">
        <v>2</v>
      </c>
      <c r="H210" s="30" t="inlineStr">
        <is>
          <t>(Hindi, unclear)</t>
        </is>
      </c>
      <c r="I210" s="31" t="inlineStr">
        <is>
          <t>VERIFY 8112634630</t>
        </is>
      </c>
      <c r="J210" s="30" t="inlineStr">
        <is>
          <t>Kanpur</t>
        </is>
      </c>
      <c r="K210" s="30" t="inlineStr">
        <is>
          <t>Kanpur</t>
        </is>
      </c>
      <c r="L210" s="30" t="inlineStr">
        <is>
          <t>Visit</t>
        </is>
      </c>
      <c r="M210" s="30" t="inlineStr">
        <is>
          <t>10/3/25 10:30am</t>
        </is>
      </c>
      <c r="N210" s="30" t="inlineStr">
        <is>
          <t>10/3/25 6:30pm</t>
        </is>
      </c>
      <c r="O210" s="30" t="inlineStr">
        <is>
          <t>201</t>
        </is>
      </c>
    </row>
    <row r="211">
      <c r="A211" s="30" t="n">
        <v>18</v>
      </c>
      <c r="B211" s="30" t="n">
        <v>206</v>
      </c>
      <c r="C211" s="30" t="inlineStr">
        <is>
          <t>Abhay / Anjali (per signature)</t>
        </is>
      </c>
      <c r="D211" s="30" t="inlineStr">
        <is>
          <t>20 / 19</t>
        </is>
      </c>
      <c r="E211" s="30" t="inlineStr">
        <is>
          <t>Family</t>
        </is>
      </c>
      <c r="F211" s="30" t="inlineStr">
        <is>
          <t>Indian (IDs 962619208845, 505224126550)</t>
        </is>
      </c>
      <c r="G211" s="30" t="n">
        <v>2</v>
      </c>
      <c r="H211" s="30" t="inlineStr">
        <is>
          <t>Yogendra Vihar (Hindi)</t>
        </is>
      </c>
      <c r="I211" s="30" t="inlineStr">
        <is>
          <t>9696972862</t>
        </is>
      </c>
      <c r="J211" s="30" t="inlineStr">
        <is>
          <t>Kanpur</t>
        </is>
      </c>
      <c r="K211" s="30" t="inlineStr">
        <is>
          <t>Kanpur</t>
        </is>
      </c>
      <c r="L211" s="30" t="inlineStr">
        <is>
          <t>Visit</t>
        </is>
      </c>
      <c r="M211" s="30" t="inlineStr">
        <is>
          <t>10/3/25</t>
        </is>
      </c>
      <c r="N211" s="30" t="n"/>
      <c r="O211" s="30" t="inlineStr">
        <is>
          <t>205</t>
        </is>
      </c>
    </row>
    <row r="212">
      <c r="A212" s="30" t="n">
        <v>18</v>
      </c>
      <c r="B212" s="30" t="n">
        <v>207</v>
      </c>
      <c r="C212" s="30" t="inlineStr">
        <is>
          <t>Kartikey / Supriya</t>
        </is>
      </c>
      <c r="D212" s="30" t="inlineStr">
        <is>
          <t>20 / 19</t>
        </is>
      </c>
      <c r="E212" s="30" t="inlineStr">
        <is>
          <t>Family</t>
        </is>
      </c>
      <c r="F212" s="30" t="inlineStr">
        <is>
          <t>Indian (IDs 428805573698, 218677171589)</t>
        </is>
      </c>
      <c r="G212" s="30" t="n">
        <v>2</v>
      </c>
      <c r="H212" s="30" t="inlineStr">
        <is>
          <t>Govind Nagar, H Block, Kanpur</t>
        </is>
      </c>
      <c r="I212" s="30" t="inlineStr">
        <is>
          <t>8317064158</t>
        </is>
      </c>
      <c r="J212" s="30" t="inlineStr">
        <is>
          <t>Kanpur</t>
        </is>
      </c>
      <c r="K212" s="30" t="inlineStr">
        <is>
          <t>Kanpur</t>
        </is>
      </c>
      <c r="L212" s="30" t="inlineStr">
        <is>
          <t>Visit</t>
        </is>
      </c>
      <c r="M212" s="30" t="inlineStr">
        <is>
          <t>11/3/25 11:54am</t>
        </is>
      </c>
      <c r="N212" s="30" t="inlineStr">
        <is>
          <t>11/3/25</t>
        </is>
      </c>
      <c r="O212" s="30" t="inlineStr">
        <is>
          <t>201</t>
        </is>
      </c>
    </row>
    <row r="213">
      <c r="A213" s="30" t="n">
        <v>18</v>
      </c>
      <c r="B213" s="30" t="n">
        <v>208</v>
      </c>
      <c r="C213" s="30" t="inlineStr">
        <is>
          <t>Shailendra Singh / Abhilasha Srivastava</t>
        </is>
      </c>
      <c r="D213" s="30" t="inlineStr">
        <is>
          <t>23 / 23</t>
        </is>
      </c>
      <c r="E213" s="30" t="inlineStr">
        <is>
          <t>Family</t>
        </is>
      </c>
      <c r="F213" s="30" t="inlineStr">
        <is>
          <t>Indian (IDs 692621001303, 750549813109)</t>
        </is>
      </c>
      <c r="G213" s="30" t="n">
        <v>2</v>
      </c>
      <c r="H213" s="30" t="inlineStr">
        <is>
          <t>Naubasta / Naubasta</t>
        </is>
      </c>
      <c r="I213" s="30" t="inlineStr">
        <is>
          <t>7905800319 / 9935607122</t>
        </is>
      </c>
      <c r="J213" s="30" t="inlineStr">
        <is>
          <t>Kanpur</t>
        </is>
      </c>
      <c r="K213" s="30" t="inlineStr">
        <is>
          <t>Kanpur</t>
        </is>
      </c>
      <c r="L213" s="30" t="inlineStr">
        <is>
          <t>Visit</t>
        </is>
      </c>
      <c r="M213" s="30" t="inlineStr">
        <is>
          <t>11/3/25 2:18pm</t>
        </is>
      </c>
      <c r="N213" s="30" t="inlineStr">
        <is>
          <t>11/3/25</t>
        </is>
      </c>
      <c r="O213" s="30" t="inlineStr">
        <is>
          <t>202</t>
        </is>
      </c>
    </row>
    <row r="214">
      <c r="A214" s="30" t="n">
        <v>18</v>
      </c>
      <c r="B214" s="30" t="n">
        <v>209</v>
      </c>
      <c r="C214" s="30" t="inlineStr">
        <is>
          <t>Anjali / Abhay</t>
        </is>
      </c>
      <c r="D214" s="30" t="inlineStr">
        <is>
          <t>20 / 19</t>
        </is>
      </c>
      <c r="E214" s="30" t="inlineStr">
        <is>
          <t>Friend</t>
        </is>
      </c>
      <c r="F214" s="30" t="inlineStr">
        <is>
          <t>Indian (IDs 309719208445, 505274126550)</t>
        </is>
      </c>
      <c r="G214" s="30" t="n">
        <v>2</v>
      </c>
      <c r="H214" s="30" t="inlineStr">
        <is>
          <t>Naubasta / Naubasta</t>
        </is>
      </c>
      <c r="I214" s="31" t="inlineStr">
        <is>
          <t>9696972862 / VERIFY 9369800659</t>
        </is>
      </c>
      <c r="J214" s="30" t="inlineStr">
        <is>
          <t>Kanpur</t>
        </is>
      </c>
      <c r="K214" s="30" t="inlineStr">
        <is>
          <t>Kanpur</t>
        </is>
      </c>
      <c r="L214" s="30" t="inlineStr">
        <is>
          <t>Visit</t>
        </is>
      </c>
      <c r="M214" s="30" t="inlineStr">
        <is>
          <t>11/3/25 2:27pm</t>
        </is>
      </c>
      <c r="N214" s="30" t="inlineStr">
        <is>
          <t>11/3/25</t>
        </is>
      </c>
      <c r="O214" s="30" t="inlineStr">
        <is>
          <t>205</t>
        </is>
      </c>
    </row>
    <row r="215">
      <c r="A215" s="30" t="n">
        <v>18</v>
      </c>
      <c r="B215" s="30" t="n">
        <v>210</v>
      </c>
      <c r="C215" s="30" t="inlineStr">
        <is>
          <t>Sandeep Kumar / Saloni</t>
        </is>
      </c>
      <c r="D215" s="30" t="inlineStr">
        <is>
          <t>22 / 20</t>
        </is>
      </c>
      <c r="E215" s="30" t="inlineStr">
        <is>
          <t>Friend</t>
        </is>
      </c>
      <c r="F215" s="30" t="inlineStr">
        <is>
          <t>Indian (IDs 858598889385, 438672829438)</t>
        </is>
      </c>
      <c r="G215" s="30" t="n">
        <v>2</v>
      </c>
      <c r="H215" s="30" t="inlineStr">
        <is>
          <t>T-511 Barra-8 / E-811 Barra-8</t>
        </is>
      </c>
      <c r="I215" s="30" t="inlineStr">
        <is>
          <t>8957011856 / 8317031925</t>
        </is>
      </c>
      <c r="J215" s="30" t="inlineStr">
        <is>
          <t>Kanpur</t>
        </is>
      </c>
      <c r="K215" s="30" t="inlineStr">
        <is>
          <t>Kanpur</t>
        </is>
      </c>
      <c r="L215" s="30" t="inlineStr">
        <is>
          <t>Visit</t>
        </is>
      </c>
      <c r="M215" s="30" t="inlineStr">
        <is>
          <t>11/3/25 3:14pm</t>
        </is>
      </c>
      <c r="N215" s="30" t="inlineStr">
        <is>
          <t>11/3/25</t>
        </is>
      </c>
      <c r="O215" s="30" t="inlineStr">
        <is>
          <t>204</t>
        </is>
      </c>
    </row>
    <row r="216">
      <c r="A216" s="30" t="n">
        <v>18</v>
      </c>
      <c r="B216" s="30" t="n">
        <v>211</v>
      </c>
      <c r="C216" s="30" t="inlineStr">
        <is>
          <t>Nikhil / Anu</t>
        </is>
      </c>
      <c r="D216" s="30" t="n"/>
      <c r="E216" s="30" t="n"/>
      <c r="F216" s="30" t="inlineStr">
        <is>
          <t>Indian</t>
        </is>
      </c>
      <c r="G216" s="30" t="n">
        <v>2</v>
      </c>
      <c r="H216" s="30" t="inlineStr">
        <is>
          <t>-</t>
        </is>
      </c>
      <c r="I216" s="30" t="n"/>
      <c r="J216" s="30" t="inlineStr">
        <is>
          <t>Kanpur</t>
        </is>
      </c>
      <c r="K216" s="30" t="inlineStr">
        <is>
          <t>Kanpur</t>
        </is>
      </c>
      <c r="L216" s="30" t="inlineStr">
        <is>
          <t>Visit</t>
        </is>
      </c>
      <c r="M216" s="30" t="inlineStr">
        <is>
          <t>13/3/25 (struck out)</t>
        </is>
      </c>
      <c r="N216" s="30" t="n"/>
      <c r="O216" s="30" t="n"/>
    </row>
    <row r="217">
      <c r="A217" s="30" t="n">
        <v>18</v>
      </c>
      <c r="B217" s="30" t="n">
        <v>212</v>
      </c>
      <c r="C217" s="30" t="inlineStr">
        <is>
          <t>Saloni / Avinash</t>
        </is>
      </c>
      <c r="D217" s="30" t="n"/>
      <c r="E217" s="30" t="inlineStr">
        <is>
          <t>Friend</t>
        </is>
      </c>
      <c r="F217" s="30" t="inlineStr">
        <is>
          <t>Indian (IDs 980063460854, 39298412..)</t>
        </is>
      </c>
      <c r="G217" s="30" t="n">
        <v>2</v>
      </c>
      <c r="H217" s="30" t="inlineStr">
        <is>
          <t>Pipauri</t>
        </is>
      </c>
      <c r="I217" s="30" t="inlineStr">
        <is>
          <t>7521922052</t>
        </is>
      </c>
      <c r="J217" s="30" t="inlineStr">
        <is>
          <t>Kanpur</t>
        </is>
      </c>
      <c r="K217" s="30" t="inlineStr">
        <is>
          <t>Kanpur</t>
        </is>
      </c>
      <c r="L217" s="30" t="inlineStr">
        <is>
          <t>Visit</t>
        </is>
      </c>
      <c r="M217" s="30" t="inlineStr">
        <is>
          <t>13/3/25 2:20pm</t>
        </is>
      </c>
      <c r="N217" s="30" t="inlineStr">
        <is>
          <t>13/3/25</t>
        </is>
      </c>
      <c r="O217" s="30" t="n"/>
    </row>
    <row r="218">
      <c r="A218" s="30" t="n">
        <v>18</v>
      </c>
      <c r="B218" s="30" t="n">
        <v>213</v>
      </c>
      <c r="C218" s="30" t="inlineStr">
        <is>
          <t>Awadhesh Gupta / Ragini</t>
        </is>
      </c>
      <c r="D218" s="30" t="inlineStr">
        <is>
          <t>30 / 25</t>
        </is>
      </c>
      <c r="E218" s="30" t="inlineStr">
        <is>
          <t>Family</t>
        </is>
      </c>
      <c r="F218" s="30" t="inlineStr">
        <is>
          <t>Indian (IDs 550294414392, 474075907336)</t>
        </is>
      </c>
      <c r="G218" s="30" t="n">
        <v>2</v>
      </c>
      <c r="H218" s="30" t="inlineStr">
        <is>
          <t>11A Yogendra Vihar (Hindi)</t>
        </is>
      </c>
      <c r="I218" s="30" t="n"/>
      <c r="J218" s="30" t="inlineStr">
        <is>
          <t>Kanpur</t>
        </is>
      </c>
      <c r="K218" s="30" t="inlineStr">
        <is>
          <t>Kanpur</t>
        </is>
      </c>
      <c r="L218" s="30" t="inlineStr">
        <is>
          <t>Visit</t>
        </is>
      </c>
      <c r="M218" s="30" t="inlineStr">
        <is>
          <t>15/3/25 8:15</t>
        </is>
      </c>
      <c r="N218" s="30" t="inlineStr">
        <is>
          <t>15/3/25</t>
        </is>
      </c>
      <c r="O218" s="30" t="inlineStr">
        <is>
          <t>204</t>
        </is>
      </c>
    </row>
    <row r="219">
      <c r="A219" s="30" t="n">
        <v>18</v>
      </c>
      <c r="B219" s="30" t="n">
        <v>214</v>
      </c>
      <c r="C219" s="30" t="inlineStr">
        <is>
          <t>Ritanshu / Aanchal Sharma</t>
        </is>
      </c>
      <c r="D219" s="30" t="inlineStr">
        <is>
          <t>- / 18</t>
        </is>
      </c>
      <c r="E219" s="30" t="inlineStr">
        <is>
          <t>Family</t>
        </is>
      </c>
      <c r="F219" s="30" t="inlineStr">
        <is>
          <t>Indian (IDs 220581282895, 931634801115)</t>
        </is>
      </c>
      <c r="G219" s="30" t="n">
        <v>2</v>
      </c>
      <c r="H219" s="30" t="inlineStr">
        <is>
          <t>SA-451 Awas Vikas, Naubasta (Hindi)</t>
        </is>
      </c>
      <c r="I219" s="30" t="inlineStr">
        <is>
          <t>8081606043</t>
        </is>
      </c>
      <c r="J219" s="30" t="inlineStr">
        <is>
          <t>Kanpur</t>
        </is>
      </c>
      <c r="K219" s="30" t="inlineStr">
        <is>
          <t>Kanpur</t>
        </is>
      </c>
      <c r="L219" s="30" t="inlineStr">
        <is>
          <t>Visit</t>
        </is>
      </c>
      <c r="M219" s="30" t="inlineStr">
        <is>
          <t>15/3/25 2:58pm</t>
        </is>
      </c>
      <c r="N219" s="30" t="inlineStr">
        <is>
          <t>15/3/25</t>
        </is>
      </c>
      <c r="O219" s="30" t="inlineStr">
        <is>
          <t>205</t>
        </is>
      </c>
    </row>
    <row r="220">
      <c r="A220" s="30" t="n">
        <v>18</v>
      </c>
      <c r="B220" s="30" t="n">
        <v>215</v>
      </c>
      <c r="C220" s="30" t="inlineStr">
        <is>
          <t>Pratham / Saloni</t>
        </is>
      </c>
      <c r="D220" s="30" t="n"/>
      <c r="E220" s="30" t="n"/>
      <c r="F220" s="30" t="inlineStr">
        <is>
          <t>Indian (ID 982351020453)</t>
        </is>
      </c>
      <c r="G220" s="30" t="n">
        <v>2</v>
      </c>
      <c r="H220" s="30" t="inlineStr">
        <is>
          <t>130/945 T.P Nagar</t>
        </is>
      </c>
      <c r="I220" s="30" t="n"/>
      <c r="J220" s="30" t="inlineStr">
        <is>
          <t>Kanpur</t>
        </is>
      </c>
      <c r="K220" s="30" t="inlineStr">
        <is>
          <t>Kanpur</t>
        </is>
      </c>
      <c r="L220" s="30" t="inlineStr">
        <is>
          <t>Visit</t>
        </is>
      </c>
      <c r="M220" s="30" t="n"/>
      <c r="N220" s="30" t="n"/>
      <c r="O220" s="30" t="n"/>
    </row>
    <row r="221">
      <c r="A221" s="30" t="n">
        <v>18</v>
      </c>
      <c r="B221" s="30" t="n">
        <v>216</v>
      </c>
      <c r="C221" s="30" t="inlineStr">
        <is>
          <t>(not written)</t>
        </is>
      </c>
      <c r="D221" s="30" t="n"/>
      <c r="E221" s="30" t="n"/>
      <c r="F221" s="30" t="n"/>
      <c r="G221" s="30" t="n"/>
      <c r="H221" s="30" t="inlineStr">
        <is>
          <t>-</t>
        </is>
      </c>
      <c r="I221" s="30" t="n"/>
      <c r="J221" s="30" t="n"/>
      <c r="K221" s="30" t="n"/>
      <c r="L221" s="30" t="n"/>
      <c r="M221" s="30" t="n"/>
      <c r="N221" s="30" t="n"/>
      <c r="O221" s="30" t="n"/>
    </row>
    <row r="222">
      <c r="A222" s="30" t="n">
        <v>19</v>
      </c>
      <c r="B222" s="30" t="n">
        <v>217</v>
      </c>
      <c r="C222" s="30" t="inlineStr">
        <is>
          <t>Sandeep Kumar / Saloni</t>
        </is>
      </c>
      <c r="D222" s="30" t="inlineStr">
        <is>
          <t>22 / 20</t>
        </is>
      </c>
      <c r="E222" s="30" t="inlineStr">
        <is>
          <t>Family</t>
        </is>
      </c>
      <c r="F222" s="30" t="inlineStr">
        <is>
          <t>Indian (ID 858598889385)</t>
        </is>
      </c>
      <c r="G222" s="30" t="n">
        <v>2</v>
      </c>
      <c r="H222" s="30" t="inlineStr">
        <is>
          <t>F-511 Barra-8</t>
        </is>
      </c>
      <c r="I222" s="31" t="inlineStr">
        <is>
          <t>8957011856 / VERIFY 8317013525</t>
        </is>
      </c>
      <c r="J222" s="30" t="inlineStr">
        <is>
          <t>Kanpur</t>
        </is>
      </c>
      <c r="K222" s="30" t="inlineStr">
        <is>
          <t>Kanpur</t>
        </is>
      </c>
      <c r="L222" s="30" t="inlineStr">
        <is>
          <t>Visit</t>
        </is>
      </c>
      <c r="M222" s="30" t="inlineStr">
        <is>
          <t>16/3/25 1:26pm</t>
        </is>
      </c>
      <c r="N222" s="30" t="inlineStr">
        <is>
          <t>16/3/25</t>
        </is>
      </c>
      <c r="O222" s="30" t="inlineStr">
        <is>
          <t>203</t>
        </is>
      </c>
    </row>
    <row r="223">
      <c r="A223" s="30" t="n">
        <v>19</v>
      </c>
      <c r="B223" s="30" t="n">
        <v>218</v>
      </c>
      <c r="C223" s="30" t="inlineStr">
        <is>
          <t>Anurag Soni / Kajal Rathore</t>
        </is>
      </c>
      <c r="D223" s="30" t="inlineStr">
        <is>
          <t>20 / 19</t>
        </is>
      </c>
      <c r="E223" s="30" t="inlineStr">
        <is>
          <t>Family</t>
        </is>
      </c>
      <c r="F223" s="30" t="inlineStr">
        <is>
          <t>Indian (IDs 436256425525, 255265104013)</t>
        </is>
      </c>
      <c r="G223" s="30" t="n">
        <v>2</v>
      </c>
      <c r="H223" s="30" t="inlineStr">
        <is>
          <t>F1-244 Barra-8</t>
        </is>
      </c>
      <c r="I223" s="30" t="inlineStr">
        <is>
          <t>9301581038</t>
        </is>
      </c>
      <c r="J223" s="30" t="inlineStr">
        <is>
          <t>Kanpur</t>
        </is>
      </c>
      <c r="K223" s="30" t="inlineStr">
        <is>
          <t>Kanpur</t>
        </is>
      </c>
      <c r="L223" s="30" t="inlineStr">
        <is>
          <t>Visit</t>
        </is>
      </c>
      <c r="M223" s="30" t="inlineStr">
        <is>
          <t>16/3/25 1:26pm</t>
        </is>
      </c>
      <c r="N223" s="30" t="inlineStr">
        <is>
          <t>16/3/25</t>
        </is>
      </c>
      <c r="O223" s="30" t="inlineStr">
        <is>
          <t>204</t>
        </is>
      </c>
    </row>
    <row r="224">
      <c r="A224" s="30" t="n">
        <v>19</v>
      </c>
      <c r="B224" s="30" t="n">
        <v>219</v>
      </c>
      <c r="C224" s="30" t="inlineStr">
        <is>
          <t>Saloni / Avinash</t>
        </is>
      </c>
      <c r="D224" s="30" t="n"/>
      <c r="E224" s="30" t="n"/>
      <c r="F224" s="30" t="inlineStr">
        <is>
          <t>Indian</t>
        </is>
      </c>
      <c r="G224" s="30" t="n">
        <v>2</v>
      </c>
      <c r="H224" s="30" t="inlineStr">
        <is>
          <t>-</t>
        </is>
      </c>
      <c r="I224" s="30" t="n"/>
      <c r="J224" s="30" t="n"/>
      <c r="K224" s="30" t="n"/>
      <c r="L224" s="30" t="n"/>
      <c r="M224" s="30" t="n"/>
      <c r="N224" s="30" t="n"/>
      <c r="O224" s="30" t="n"/>
    </row>
    <row r="225">
      <c r="A225" s="30" t="n">
        <v>19</v>
      </c>
      <c r="B225" s="30" t="n">
        <v>220</v>
      </c>
      <c r="C225" s="30" t="inlineStr">
        <is>
          <t>Abhishek / Sheela (Hindi)</t>
        </is>
      </c>
      <c r="D225" s="30" t="inlineStr">
        <is>
          <t>21 / 21</t>
        </is>
      </c>
      <c r="E225" s="30" t="inlineStr">
        <is>
          <t>Family</t>
        </is>
      </c>
      <c r="F225" s="30" t="inlineStr">
        <is>
          <t>Indian (IDs 470055148991, 436595321207)</t>
        </is>
      </c>
      <c r="G225" s="30" t="n">
        <v>2</v>
      </c>
      <c r="H225" s="30" t="inlineStr">
        <is>
          <t>(Hindi, unclear)</t>
        </is>
      </c>
      <c r="I225" s="30" t="inlineStr">
        <is>
          <t>8707450272 / 8858794309</t>
        </is>
      </c>
      <c r="J225" s="30" t="inlineStr">
        <is>
          <t>Kanpur</t>
        </is>
      </c>
      <c r="K225" s="30" t="inlineStr">
        <is>
          <t>Kanpur</t>
        </is>
      </c>
      <c r="L225" s="30" t="inlineStr">
        <is>
          <t>Visit</t>
        </is>
      </c>
      <c r="M225" s="30" t="inlineStr">
        <is>
          <t>17/3/25 10:50am</t>
        </is>
      </c>
      <c r="N225" s="30" t="inlineStr">
        <is>
          <t>17/3/25</t>
        </is>
      </c>
      <c r="O225" s="30" t="inlineStr">
        <is>
          <t>206</t>
        </is>
      </c>
    </row>
    <row r="226">
      <c r="A226" s="30" t="n">
        <v>19</v>
      </c>
      <c r="B226" s="30" t="n">
        <v>221</v>
      </c>
      <c r="C226" s="30" t="inlineStr">
        <is>
          <t>Mayank Verma / Prachi Verma</t>
        </is>
      </c>
      <c r="D226" s="30" t="inlineStr">
        <is>
          <t>25 / 23</t>
        </is>
      </c>
      <c r="E226" s="30" t="inlineStr">
        <is>
          <t>Married</t>
        </is>
      </c>
      <c r="F226" s="30" t="inlineStr">
        <is>
          <t>Indian (ID 322133330620)</t>
        </is>
      </c>
      <c r="G226" s="30" t="n">
        <v>2</v>
      </c>
      <c r="H226" s="30" t="inlineStr">
        <is>
          <t>EWS Awas Vikas (Hindi)</t>
        </is>
      </c>
      <c r="I226" s="31" t="inlineStr">
        <is>
          <t>VERIFY 0630263901</t>
        </is>
      </c>
      <c r="J226" s="30" t="inlineStr">
        <is>
          <t>Kanpur</t>
        </is>
      </c>
      <c r="K226" s="30" t="inlineStr">
        <is>
          <t>Kanpur</t>
        </is>
      </c>
      <c r="L226" s="30" t="inlineStr">
        <is>
          <t>Visit</t>
        </is>
      </c>
      <c r="M226" s="30" t="inlineStr">
        <is>
          <t>17/3/25 11:10am</t>
        </is>
      </c>
      <c r="N226" s="30" t="inlineStr">
        <is>
          <t>17/3/25</t>
        </is>
      </c>
      <c r="O226" s="30" t="inlineStr">
        <is>
          <t>205</t>
        </is>
      </c>
    </row>
    <row r="227">
      <c r="A227" s="30" t="n">
        <v>19</v>
      </c>
      <c r="B227" s="30" t="n">
        <v>222</v>
      </c>
      <c r="C227" s="30" t="inlineStr">
        <is>
          <t>Aaru / Shivangi</t>
        </is>
      </c>
      <c r="D227" s="30" t="n"/>
      <c r="E227" s="30" t="n"/>
      <c r="F227" s="30" t="inlineStr">
        <is>
          <t>Indian (ID 6391065014)</t>
        </is>
      </c>
      <c r="G227" s="30" t="n">
        <v>2</v>
      </c>
      <c r="H227" s="30" t="inlineStr">
        <is>
          <t>Hemant Vihar</t>
        </is>
      </c>
      <c r="I227" s="30" t="n"/>
      <c r="J227" s="30" t="inlineStr">
        <is>
          <t>Kanpur</t>
        </is>
      </c>
      <c r="K227" s="30" t="inlineStr">
        <is>
          <t>Kanpur</t>
        </is>
      </c>
      <c r="L227" s="30" t="inlineStr">
        <is>
          <t>Visit</t>
        </is>
      </c>
      <c r="M227" s="30" t="inlineStr">
        <is>
          <t>17/3/25 11:17am</t>
        </is>
      </c>
      <c r="N227" s="30" t="inlineStr">
        <is>
          <t>17/3/25</t>
        </is>
      </c>
      <c r="O227" s="30" t="n"/>
    </row>
    <row r="228">
      <c r="A228" s="30" t="n">
        <v>19</v>
      </c>
      <c r="B228" s="30" t="n">
        <v>223</v>
      </c>
      <c r="C228" s="30" t="inlineStr">
        <is>
          <t>Aman / Shweta</t>
        </is>
      </c>
      <c r="D228" s="30" t="inlineStr">
        <is>
          <t>20 / 20</t>
        </is>
      </c>
      <c r="E228" s="30" t="inlineStr">
        <is>
          <t>Friend</t>
        </is>
      </c>
      <c r="F228" s="30" t="inlineStr">
        <is>
          <t>Indian (ID 652317493620)</t>
        </is>
      </c>
      <c r="G228" s="30" t="n">
        <v>2</v>
      </c>
      <c r="H228" s="30" t="inlineStr">
        <is>
          <t>177 Sanjay Gandhi Nagar</t>
        </is>
      </c>
      <c r="I228" s="30" t="inlineStr">
        <is>
          <t>9451930495</t>
        </is>
      </c>
      <c r="J228" s="30" t="inlineStr">
        <is>
          <t>Kanpur</t>
        </is>
      </c>
      <c r="K228" s="30" t="inlineStr">
        <is>
          <t>Kanpur</t>
        </is>
      </c>
      <c r="L228" s="30" t="inlineStr">
        <is>
          <t>Visit</t>
        </is>
      </c>
      <c r="M228" s="30" t="inlineStr">
        <is>
          <t>17/3/25 12:15pm</t>
        </is>
      </c>
      <c r="N228" s="30" t="inlineStr">
        <is>
          <t>17/3/25</t>
        </is>
      </c>
      <c r="O228" s="30" t="n"/>
    </row>
    <row r="229">
      <c r="A229" s="30" t="n">
        <v>19</v>
      </c>
      <c r="B229" s="30" t="n">
        <v>224</v>
      </c>
      <c r="C229" s="30" t="inlineStr">
        <is>
          <t>Raghav / Parul</t>
        </is>
      </c>
      <c r="D229" s="30" t="inlineStr">
        <is>
          <t>22 / 19</t>
        </is>
      </c>
      <c r="E229" s="30" t="inlineStr">
        <is>
          <t>Friends</t>
        </is>
      </c>
      <c r="F229" s="30" t="inlineStr">
        <is>
          <t>Indian (IDs 233818637967, 34776345645)</t>
        </is>
      </c>
      <c r="G229" s="30" t="n">
        <v>2</v>
      </c>
      <c r="H229" s="30" t="inlineStr">
        <is>
          <t>Barra-2</t>
        </is>
      </c>
      <c r="I229" s="30" t="inlineStr">
        <is>
          <t>6394010145 / 9369191735</t>
        </is>
      </c>
      <c r="J229" s="30" t="inlineStr">
        <is>
          <t>Kanpur</t>
        </is>
      </c>
      <c r="K229" s="30" t="inlineStr">
        <is>
          <t>Kanpur</t>
        </is>
      </c>
      <c r="L229" s="30" t="inlineStr">
        <is>
          <t>Visit</t>
        </is>
      </c>
      <c r="M229" s="30" t="inlineStr">
        <is>
          <t>17/3/25 1:31pm</t>
        </is>
      </c>
      <c r="N229" s="30" t="inlineStr">
        <is>
          <t>17/3/25</t>
        </is>
      </c>
      <c r="O229" s="30" t="n"/>
    </row>
    <row r="230">
      <c r="A230" s="30" t="n">
        <v>19</v>
      </c>
      <c r="B230" s="30" t="n">
        <v>225</v>
      </c>
      <c r="C230" s="30" t="inlineStr">
        <is>
          <t>Shivam / Payal</t>
        </is>
      </c>
      <c r="D230" s="30" t="inlineStr">
        <is>
          <t>25 / 23</t>
        </is>
      </c>
      <c r="E230" s="30" t="inlineStr">
        <is>
          <t>Family</t>
        </is>
      </c>
      <c r="F230" s="30" t="inlineStr">
        <is>
          <t>Indian (IDs 954574458976, 678227330687)</t>
        </is>
      </c>
      <c r="G230" s="30" t="n">
        <v>2</v>
      </c>
      <c r="H230" s="30" t="inlineStr">
        <is>
          <t>F-775 / K-75 Gujaini</t>
        </is>
      </c>
      <c r="I230" s="30" t="inlineStr">
        <is>
          <t>6393445417</t>
        </is>
      </c>
      <c r="J230" s="30" t="inlineStr">
        <is>
          <t>Kanpur</t>
        </is>
      </c>
      <c r="K230" s="30" t="inlineStr">
        <is>
          <t>Kanpur</t>
        </is>
      </c>
      <c r="L230" s="30" t="inlineStr">
        <is>
          <t>Visit</t>
        </is>
      </c>
      <c r="M230" s="30" t="inlineStr">
        <is>
          <t>18/3/25 11:00am</t>
        </is>
      </c>
      <c r="N230" s="30" t="inlineStr">
        <is>
          <t>18/3/25</t>
        </is>
      </c>
      <c r="O230" s="30" t="n"/>
    </row>
    <row r="231">
      <c r="A231" s="30" t="n">
        <v>19</v>
      </c>
      <c r="B231" s="30" t="n">
        <v>226</v>
      </c>
      <c r="C231" s="30" t="inlineStr">
        <is>
          <t>(names unclear)</t>
        </is>
      </c>
      <c r="D231" s="30" t="n"/>
      <c r="E231" s="30" t="n"/>
      <c r="F231" s="30" t="n"/>
      <c r="G231" s="30" t="n"/>
      <c r="H231" s="30" t="inlineStr">
        <is>
          <t>-</t>
        </is>
      </c>
      <c r="I231" s="30" t="n"/>
      <c r="J231" s="30" t="n"/>
      <c r="K231" s="30" t="n"/>
      <c r="L231" s="30" t="n"/>
      <c r="M231" s="30" t="n"/>
      <c r="N231" s="30" t="n"/>
      <c r="O231" s="30" t="n"/>
    </row>
    <row r="232">
      <c r="A232" s="30" t="n">
        <v>19</v>
      </c>
      <c r="B232" s="30" t="n">
        <v>227</v>
      </c>
      <c r="C232" s="30" t="inlineStr">
        <is>
          <t>Satish / Jyoti (Hindi)</t>
        </is>
      </c>
      <c r="D232" s="30" t="inlineStr">
        <is>
          <t>24 / 24</t>
        </is>
      </c>
      <c r="E232" s="30" t="inlineStr">
        <is>
          <t>Family</t>
        </is>
      </c>
      <c r="F232" s="30" t="inlineStr">
        <is>
          <t>Indian (IDs 492301316113, 476830470187)</t>
        </is>
      </c>
      <c r="G232" s="30" t="n">
        <v>2</v>
      </c>
      <c r="H232" s="30" t="inlineStr">
        <is>
          <t>Saket Nagar Kanpur (Hindi)</t>
        </is>
      </c>
      <c r="I232" s="30" t="n"/>
      <c r="J232" s="30" t="inlineStr">
        <is>
          <t>Kanpur</t>
        </is>
      </c>
      <c r="K232" s="30" t="inlineStr">
        <is>
          <t>Kanpur</t>
        </is>
      </c>
      <c r="L232" s="30" t="inlineStr">
        <is>
          <t>Visit</t>
        </is>
      </c>
      <c r="M232" s="30" t="inlineStr">
        <is>
          <t>19/3/25 11:30am</t>
        </is>
      </c>
      <c r="N232" s="30" t="inlineStr">
        <is>
          <t>19/3/25</t>
        </is>
      </c>
      <c r="O232" s="30" t="n"/>
    </row>
    <row r="233">
      <c r="A233" s="30" t="n">
        <v>19</v>
      </c>
      <c r="B233" s="30" t="n">
        <v>228</v>
      </c>
      <c r="C233" s="30" t="inlineStr">
        <is>
          <t>Harsh / Jyoti (Hindi)</t>
        </is>
      </c>
      <c r="D233" s="30" t="inlineStr">
        <is>
          <t>18 / 18</t>
        </is>
      </c>
      <c r="E233" s="30" t="inlineStr">
        <is>
          <t>male/female</t>
        </is>
      </c>
      <c r="F233" s="30" t="inlineStr">
        <is>
          <t>Indian (IDs 429655553846, 724858463864)</t>
        </is>
      </c>
      <c r="G233" s="30" t="n">
        <v>2</v>
      </c>
      <c r="H233" s="30" t="inlineStr">
        <is>
          <t>(Hindi) Kanpur</t>
        </is>
      </c>
      <c r="I233" s="30" t="inlineStr">
        <is>
          <t>6386994805</t>
        </is>
      </c>
      <c r="J233" s="30" t="inlineStr">
        <is>
          <t>Kanpur</t>
        </is>
      </c>
      <c r="K233" s="30" t="inlineStr">
        <is>
          <t>Kanpur</t>
        </is>
      </c>
      <c r="L233" s="30" t="inlineStr">
        <is>
          <t>Visit</t>
        </is>
      </c>
      <c r="M233" s="30" t="inlineStr">
        <is>
          <t>20/3/25 12:00pm</t>
        </is>
      </c>
      <c r="N233" s="30" t="inlineStr">
        <is>
          <t>20/3/25</t>
        </is>
      </c>
      <c r="O233" s="30" t="n"/>
    </row>
    <row r="234">
      <c r="A234" s="30" t="n">
        <v>20</v>
      </c>
      <c r="B234" s="30" t="n">
        <v>229</v>
      </c>
      <c r="C234" s="30" t="inlineStr">
        <is>
          <t>Aditya / Shashi</t>
        </is>
      </c>
      <c r="D234" s="30" t="inlineStr">
        <is>
          <t>24 / 20</t>
        </is>
      </c>
      <c r="E234" s="30" t="inlineStr">
        <is>
          <t>Family</t>
        </is>
      </c>
      <c r="F234" s="30" t="inlineStr">
        <is>
          <t>Indian (IDs 582012627126, 686550349109)</t>
        </is>
      </c>
      <c r="G234" s="30" t="n">
        <v>2</v>
      </c>
      <c r="H234" s="30" t="inlineStr">
        <is>
          <t>Karrahi Kanpur / Karrahi Kanpur</t>
        </is>
      </c>
      <c r="I234" s="30" t="inlineStr">
        <is>
          <t>7355466341</t>
        </is>
      </c>
      <c r="J234" s="30" t="inlineStr">
        <is>
          <t>Kanpur</t>
        </is>
      </c>
      <c r="K234" s="30" t="inlineStr">
        <is>
          <t>Kanpur</t>
        </is>
      </c>
      <c r="L234" s="30" t="inlineStr">
        <is>
          <t>Visit</t>
        </is>
      </c>
      <c r="M234" s="30" t="inlineStr">
        <is>
          <t>20/3/25 2:20pm</t>
        </is>
      </c>
      <c r="N234" s="30" t="inlineStr">
        <is>
          <t>20/3/25</t>
        </is>
      </c>
      <c r="O234" s="30" t="inlineStr">
        <is>
          <t>203</t>
        </is>
      </c>
    </row>
    <row r="235">
      <c r="A235" s="30" t="n">
        <v>20</v>
      </c>
      <c r="B235" s="30" t="n">
        <v>230</v>
      </c>
      <c r="C235" s="30" t="inlineStr">
        <is>
          <t>Uttam (Hindi)</t>
        </is>
      </c>
      <c r="D235" s="30" t="n"/>
      <c r="E235" s="30" t="n"/>
      <c r="F235" s="30" t="inlineStr">
        <is>
          <t>Indian (ID 9995578155)</t>
        </is>
      </c>
      <c r="G235" s="30" t="n">
        <v>3</v>
      </c>
      <c r="H235" s="30" t="inlineStr">
        <is>
          <t>Kanpur (Hindi)</t>
        </is>
      </c>
      <c r="I235" s="30" t="n"/>
      <c r="J235" s="30" t="inlineStr">
        <is>
          <t>Kanpur</t>
        </is>
      </c>
      <c r="K235" s="30" t="inlineStr">
        <is>
          <t>Kanpur</t>
        </is>
      </c>
      <c r="L235" s="30" t="inlineStr">
        <is>
          <t>Visit</t>
        </is>
      </c>
      <c r="M235" s="30" t="n"/>
      <c r="N235" s="30" t="n"/>
      <c r="O235" s="30" t="n"/>
    </row>
    <row r="236">
      <c r="A236" s="30" t="n">
        <v>20</v>
      </c>
      <c r="B236" s="30" t="n">
        <v>231</v>
      </c>
      <c r="C236" s="30" t="inlineStr">
        <is>
          <t>Harsh / Yashi</t>
        </is>
      </c>
      <c r="D236" s="30" t="inlineStr">
        <is>
          <t>22 / 22</t>
        </is>
      </c>
      <c r="E236" s="30" t="inlineStr">
        <is>
          <t>Family</t>
        </is>
      </c>
      <c r="F236" s="30" t="inlineStr">
        <is>
          <t>Indian (IDs 699647281704, 513231788964)</t>
        </is>
      </c>
      <c r="G236" s="30" t="n">
        <v>2</v>
      </c>
      <c r="H236" s="30" t="inlineStr">
        <is>
          <t>Barra Kanpur (Hindi)</t>
        </is>
      </c>
      <c r="I236" s="31" t="inlineStr">
        <is>
          <t>VERIFY 9369298988</t>
        </is>
      </c>
      <c r="J236" s="30" t="inlineStr">
        <is>
          <t>Kanpur</t>
        </is>
      </c>
      <c r="K236" s="30" t="inlineStr">
        <is>
          <t>Kanpur</t>
        </is>
      </c>
      <c r="L236" s="30" t="inlineStr">
        <is>
          <t>Visit</t>
        </is>
      </c>
      <c r="M236" s="30" t="inlineStr">
        <is>
          <t>21/3/25 5:00pm</t>
        </is>
      </c>
      <c r="N236" s="30" t="inlineStr">
        <is>
          <t>21/3/25</t>
        </is>
      </c>
      <c r="O236" s="30" t="inlineStr">
        <is>
          <t>205</t>
        </is>
      </c>
    </row>
    <row r="237">
      <c r="A237" s="30" t="n">
        <v>20</v>
      </c>
      <c r="B237" s="30" t="n">
        <v>232</v>
      </c>
      <c r="C237" s="30" t="inlineStr">
        <is>
          <t>Anjali / Abhay</t>
        </is>
      </c>
      <c r="D237" s="30" t="n"/>
      <c r="E237" s="30" t="n"/>
      <c r="F237" s="30" t="inlineStr">
        <is>
          <t>Indian</t>
        </is>
      </c>
      <c r="G237" s="30" t="n">
        <v>2</v>
      </c>
      <c r="H237" s="30" t="inlineStr">
        <is>
          <t>-</t>
        </is>
      </c>
      <c r="I237" s="30" t="n"/>
      <c r="J237" s="30" t="inlineStr">
        <is>
          <t>Kanpur</t>
        </is>
      </c>
      <c r="K237" s="30" t="inlineStr">
        <is>
          <t>Kanpur</t>
        </is>
      </c>
      <c r="L237" s="30" t="inlineStr">
        <is>
          <t>Visit</t>
        </is>
      </c>
      <c r="M237" s="30" t="n"/>
      <c r="N237" s="30" t="n"/>
      <c r="O237" s="30" t="n"/>
    </row>
    <row r="238">
      <c r="A238" s="30" t="n">
        <v>20</v>
      </c>
      <c r="B238" s="30" t="n">
        <v>233</v>
      </c>
      <c r="C238" s="30" t="inlineStr">
        <is>
          <t>Shaivee / Aman</t>
        </is>
      </c>
      <c r="D238" s="30" t="inlineStr">
        <is>
          <t>21 / 22</t>
        </is>
      </c>
      <c r="E238" s="30" t="inlineStr">
        <is>
          <t>Friend</t>
        </is>
      </c>
      <c r="F238" s="30" t="inlineStr">
        <is>
          <t>Indian (ID 897275107569)</t>
        </is>
      </c>
      <c r="G238" s="30" t="n">
        <v>2</v>
      </c>
      <c r="H238" s="30" t="inlineStr">
        <is>
          <t>Barra Kanpur</t>
        </is>
      </c>
      <c r="I238" s="30" t="inlineStr">
        <is>
          <t>9129124101</t>
        </is>
      </c>
      <c r="J238" s="30" t="inlineStr">
        <is>
          <t>Kanpur</t>
        </is>
      </c>
      <c r="K238" s="30" t="inlineStr">
        <is>
          <t>Kanpur</t>
        </is>
      </c>
      <c r="L238" s="30" t="inlineStr">
        <is>
          <t>Visit</t>
        </is>
      </c>
      <c r="M238" s="30" t="n"/>
      <c r="N238" s="30" t="n"/>
      <c r="O238" s="30" t="n"/>
    </row>
    <row r="239">
      <c r="A239" s="30" t="n">
        <v>20</v>
      </c>
      <c r="B239" s="30" t="n">
        <v>234</v>
      </c>
      <c r="C239" s="30" t="inlineStr">
        <is>
          <t>Aman Verma / Shivani</t>
        </is>
      </c>
      <c r="D239" s="30" t="inlineStr">
        <is>
          <t>22 / 22</t>
        </is>
      </c>
      <c r="E239" s="30" t="n"/>
      <c r="F239" s="30" t="inlineStr">
        <is>
          <t>Indian</t>
        </is>
      </c>
      <c r="G239" s="30" t="n">
        <v>2</v>
      </c>
      <c r="H239" s="30" t="inlineStr">
        <is>
          <t>-</t>
        </is>
      </c>
      <c r="I239" s="31" t="inlineStr">
        <is>
          <t>VERIFY 6394158814</t>
        </is>
      </c>
      <c r="J239" s="30" t="inlineStr">
        <is>
          <t>Kanpur</t>
        </is>
      </c>
      <c r="K239" s="30" t="inlineStr">
        <is>
          <t>Kanpur</t>
        </is>
      </c>
      <c r="L239" s="30" t="inlineStr">
        <is>
          <t>Visit</t>
        </is>
      </c>
      <c r="M239" s="30" t="n"/>
      <c r="N239" s="30" t="n"/>
      <c r="O239" s="30" t="n"/>
    </row>
    <row r="240">
      <c r="A240" s="30" t="n">
        <v>20</v>
      </c>
      <c r="B240" s="30" t="n">
        <v>235</v>
      </c>
      <c r="C240" s="30" t="inlineStr">
        <is>
          <t>Anurag Soni / Kajal</t>
        </is>
      </c>
      <c r="D240" s="30" t="inlineStr">
        <is>
          <t>19 / 19</t>
        </is>
      </c>
      <c r="E240" s="30" t="inlineStr">
        <is>
          <t>Family</t>
        </is>
      </c>
      <c r="F240" s="30" t="inlineStr">
        <is>
          <t>Indian (IDs 426256425529, 255205104013)</t>
        </is>
      </c>
      <c r="G240" s="30" t="n">
        <v>2</v>
      </c>
      <c r="H240" s="30" t="inlineStr">
        <is>
          <t>Barra Kanpur / Barra Kanpur</t>
        </is>
      </c>
      <c r="I240" s="30" t="inlineStr">
        <is>
          <t>9301581038</t>
        </is>
      </c>
      <c r="J240" s="30" t="inlineStr">
        <is>
          <t>Kanpur</t>
        </is>
      </c>
      <c r="K240" s="30" t="inlineStr">
        <is>
          <t>Kanpur</t>
        </is>
      </c>
      <c r="L240" s="30" t="inlineStr">
        <is>
          <t>Visit</t>
        </is>
      </c>
      <c r="M240" s="30" t="inlineStr">
        <is>
          <t>22/3/25 3:25pm</t>
        </is>
      </c>
      <c r="N240" s="30" t="inlineStr">
        <is>
          <t>22/3/25</t>
        </is>
      </c>
      <c r="O240" s="30" t="n"/>
    </row>
    <row r="241">
      <c r="A241" s="30" t="n">
        <v>20</v>
      </c>
      <c r="B241" s="30" t="n">
        <v>236</v>
      </c>
      <c r="C241" s="30" t="inlineStr">
        <is>
          <t>Amit Pal / Sakshi Tiwari</t>
        </is>
      </c>
      <c r="D241" s="30" t="n"/>
      <c r="E241" s="30" t="inlineStr">
        <is>
          <t>Friend</t>
        </is>
      </c>
      <c r="F241" s="30" t="inlineStr">
        <is>
          <t>Indian (IDs 881719681296, 426183674042)</t>
        </is>
      </c>
      <c r="G241" s="30" t="n">
        <v>2</v>
      </c>
      <c r="H241" s="30" t="inlineStr">
        <is>
          <t>Kanpur</t>
        </is>
      </c>
      <c r="I241" s="30" t="inlineStr">
        <is>
          <t>7380621774</t>
        </is>
      </c>
      <c r="J241" s="30" t="inlineStr">
        <is>
          <t>Kanpur</t>
        </is>
      </c>
      <c r="K241" s="30" t="inlineStr">
        <is>
          <t>Kanpur</t>
        </is>
      </c>
      <c r="L241" s="30" t="inlineStr">
        <is>
          <t>Visit</t>
        </is>
      </c>
      <c r="M241" s="30" t="inlineStr">
        <is>
          <t>23/3/25 12:00pm</t>
        </is>
      </c>
      <c r="N241" s="30" t="inlineStr">
        <is>
          <t>23/3/25</t>
        </is>
      </c>
      <c r="O241" s="30" t="n"/>
    </row>
    <row r="242">
      <c r="A242" s="30" t="n">
        <v>20</v>
      </c>
      <c r="B242" s="30" t="n">
        <v>237</v>
      </c>
      <c r="C242" s="30" t="inlineStr">
        <is>
          <t>Nidhi / Amit (Hindi)</t>
        </is>
      </c>
      <c r="D242" s="30" t="inlineStr">
        <is>
          <t>28 / 30</t>
        </is>
      </c>
      <c r="E242" s="30" t="inlineStr">
        <is>
          <t>Friend</t>
        </is>
      </c>
      <c r="F242" s="30" t="inlineStr">
        <is>
          <t>Indian (IDs 227428223457, 899278446202)</t>
        </is>
      </c>
      <c r="G242" s="30" t="n">
        <v>2</v>
      </c>
      <c r="H242" s="30" t="inlineStr">
        <is>
          <t>(Hindi, unclear)</t>
        </is>
      </c>
      <c r="I242" s="31" t="inlineStr">
        <is>
          <t>VERIFY 7786073101</t>
        </is>
      </c>
      <c r="J242" s="30" t="inlineStr">
        <is>
          <t>Kanpur</t>
        </is>
      </c>
      <c r="K242" s="30" t="inlineStr">
        <is>
          <t>Kanpur</t>
        </is>
      </c>
      <c r="L242" s="30" t="inlineStr">
        <is>
          <t>Visit</t>
        </is>
      </c>
      <c r="M242" s="30" t="inlineStr">
        <is>
          <t>23/3/25 1:00pm</t>
        </is>
      </c>
      <c r="N242" s="30" t="inlineStr">
        <is>
          <t>23/3/25</t>
        </is>
      </c>
      <c r="O242" s="30" t="inlineStr">
        <is>
          <t>204</t>
        </is>
      </c>
    </row>
    <row r="243">
      <c r="A243" s="30" t="n">
        <v>20</v>
      </c>
      <c r="B243" s="30" t="n">
        <v>238</v>
      </c>
      <c r="C243" s="30" t="inlineStr">
        <is>
          <t>Sunit Suchan / Ratna Tiwari</t>
        </is>
      </c>
      <c r="D243" s="30" t="inlineStr">
        <is>
          <t>48 / 30</t>
        </is>
      </c>
      <c r="E243" s="30" t="inlineStr">
        <is>
          <t>Family</t>
        </is>
      </c>
      <c r="F243" s="30" t="inlineStr">
        <is>
          <t>Indian (IDs 934541527346, 200248128462)</t>
        </is>
      </c>
      <c r="G243" s="30" t="n">
        <v>2</v>
      </c>
      <c r="H243" s="30" t="inlineStr">
        <is>
          <t>59 Tulsi Nagar, Udyog Nagar, Kanpur</t>
        </is>
      </c>
      <c r="I243" s="30" t="inlineStr">
        <is>
          <t>9517290562</t>
        </is>
      </c>
      <c r="J243" s="30" t="inlineStr">
        <is>
          <t>Kanpur</t>
        </is>
      </c>
      <c r="K243" s="30" t="inlineStr">
        <is>
          <t>Kanpur</t>
        </is>
      </c>
      <c r="L243" s="30" t="inlineStr">
        <is>
          <t>Visit</t>
        </is>
      </c>
      <c r="M243" s="30" t="inlineStr">
        <is>
          <t>23/3/25 6:33pm</t>
        </is>
      </c>
      <c r="N243" s="30" t="inlineStr">
        <is>
          <t>23/3/25</t>
        </is>
      </c>
      <c r="O243" s="30" t="n"/>
    </row>
    <row r="244">
      <c r="A244" s="30" t="n">
        <v>20</v>
      </c>
      <c r="B244" s="30" t="n">
        <v>239</v>
      </c>
      <c r="C244" s="30" t="inlineStr">
        <is>
          <t>Avinash / Saloni</t>
        </is>
      </c>
      <c r="D244" s="30" t="inlineStr">
        <is>
          <t>25 / 23</t>
        </is>
      </c>
      <c r="E244" s="30" t="n"/>
      <c r="F244" s="30" t="inlineStr">
        <is>
          <t>Indian</t>
        </is>
      </c>
      <c r="G244" s="30" t="n">
        <v>2</v>
      </c>
      <c r="H244" s="30" t="inlineStr">
        <is>
          <t>Pipauri</t>
        </is>
      </c>
      <c r="I244" s="30" t="n"/>
      <c r="J244" s="30" t="inlineStr">
        <is>
          <t>Kanpur</t>
        </is>
      </c>
      <c r="K244" s="30" t="inlineStr">
        <is>
          <t>Kanpur</t>
        </is>
      </c>
      <c r="L244" s="30" t="inlineStr">
        <is>
          <t>Visit</t>
        </is>
      </c>
      <c r="M244" s="30" t="n"/>
      <c r="N244" s="30" t="n"/>
      <c r="O244" s="30" t="n"/>
    </row>
    <row r="245">
      <c r="A245" s="30" t="n">
        <v>20</v>
      </c>
      <c r="B245" s="30" t="n">
        <v>240</v>
      </c>
      <c r="C245" s="30" t="inlineStr">
        <is>
          <t>Sandeep Kumar / Saloni / Annu</t>
        </is>
      </c>
      <c r="D245" s="30" t="inlineStr">
        <is>
          <t>23 / 20</t>
        </is>
      </c>
      <c r="E245" s="30" t="inlineStr">
        <is>
          <t>Friend</t>
        </is>
      </c>
      <c r="F245" s="30" t="inlineStr">
        <is>
          <t>Indian (ID 858598889385)</t>
        </is>
      </c>
      <c r="G245" s="30" t="n">
        <v>2</v>
      </c>
      <c r="H245" s="30" t="inlineStr">
        <is>
          <t>F-511 Barra-8 Kanpur / E-511 Barra-8</t>
        </is>
      </c>
      <c r="I245" s="30" t="inlineStr">
        <is>
          <t>8957011856</t>
        </is>
      </c>
      <c r="J245" s="30" t="inlineStr">
        <is>
          <t>Kanpur</t>
        </is>
      </c>
      <c r="K245" s="30" t="inlineStr">
        <is>
          <t>Kanpur</t>
        </is>
      </c>
      <c r="L245" s="30" t="inlineStr">
        <is>
          <t>Visit</t>
        </is>
      </c>
      <c r="M245" s="30" t="inlineStr">
        <is>
          <t>23/3/25 10:57pm</t>
        </is>
      </c>
      <c r="N245" s="30" t="n"/>
      <c r="O245" s="30" t="n"/>
    </row>
    <row r="246">
      <c r="A246" s="30" t="n">
        <v>21</v>
      </c>
      <c r="B246" s="30" t="n">
        <v>241</v>
      </c>
      <c r="C246" s="30" t="inlineStr">
        <is>
          <t>Aditya / Sanjana</t>
        </is>
      </c>
      <c r="D246" s="30" t="inlineStr">
        <is>
          <t>21 / 20</t>
        </is>
      </c>
      <c r="E246" s="30" t="inlineStr">
        <is>
          <t>Friend</t>
        </is>
      </c>
      <c r="F246" s="30" t="inlineStr">
        <is>
          <t>Indian (IDs 5703739002, 381674428)</t>
        </is>
      </c>
      <c r="G246" s="30" t="n">
        <v>2</v>
      </c>
      <c r="H246" s="30" t="inlineStr">
        <is>
          <t>Awas Vikas / Awas Vikas</t>
        </is>
      </c>
      <c r="I246" s="31" t="inlineStr">
        <is>
          <t>VERIFY 8115753021</t>
        </is>
      </c>
      <c r="J246" s="30" t="inlineStr">
        <is>
          <t>Kanpur</t>
        </is>
      </c>
      <c r="K246" s="30" t="inlineStr">
        <is>
          <t>Kanpur</t>
        </is>
      </c>
      <c r="L246" s="30" t="inlineStr">
        <is>
          <t>Visit</t>
        </is>
      </c>
      <c r="M246" s="30" t="inlineStr">
        <is>
          <t>24/3/25 11:00am</t>
        </is>
      </c>
      <c r="N246" s="30" t="n"/>
      <c r="O246" s="30" t="n"/>
    </row>
    <row r="247">
      <c r="A247" s="30" t="n">
        <v>21</v>
      </c>
      <c r="B247" s="30" t="n">
        <v>242</v>
      </c>
      <c r="C247" s="30" t="inlineStr">
        <is>
          <t>Rishabh / Ritesh</t>
        </is>
      </c>
      <c r="D247" s="30" t="inlineStr">
        <is>
          <t>26 / 21</t>
        </is>
      </c>
      <c r="E247" s="30" t="inlineStr">
        <is>
          <t>Bhai</t>
        </is>
      </c>
      <c r="F247" s="30" t="inlineStr">
        <is>
          <t>Indian (ID 7007703461)</t>
        </is>
      </c>
      <c r="G247" s="30" t="n">
        <v>2</v>
      </c>
      <c r="H247" s="30" t="inlineStr">
        <is>
          <t>Satya Premi Nagar B.B.K</t>
        </is>
      </c>
      <c r="I247" s="30" t="inlineStr">
        <is>
          <t>8303610216 / 7007703461</t>
        </is>
      </c>
      <c r="J247" s="30" t="inlineStr">
        <is>
          <t>Lucknow (LKO)</t>
        </is>
      </c>
      <c r="K247" s="30" t="inlineStr">
        <is>
          <t>Lucknow</t>
        </is>
      </c>
      <c r="L247" s="30" t="inlineStr">
        <is>
          <t>Visit</t>
        </is>
      </c>
      <c r="M247" s="30" t="inlineStr">
        <is>
          <t>25/3/25 2:20pm</t>
        </is>
      </c>
      <c r="N247" s="30" t="inlineStr">
        <is>
          <t>25/3/25 9:47pm</t>
        </is>
      </c>
      <c r="O247" s="30" t="n"/>
    </row>
    <row r="248">
      <c r="A248" s="30" t="n">
        <v>21</v>
      </c>
      <c r="B248" s="30" t="n">
        <v>243</v>
      </c>
      <c r="C248" s="30" t="inlineStr">
        <is>
          <t>Ritesh</t>
        </is>
      </c>
      <c r="D248" s="30" t="inlineStr">
        <is>
          <t>21</t>
        </is>
      </c>
      <c r="E248" s="30" t="n"/>
      <c r="F248" s="30" t="inlineStr">
        <is>
          <t>Indian (ID 254659509327)</t>
        </is>
      </c>
      <c r="G248" s="30" t="n">
        <v>1</v>
      </c>
      <c r="H248" s="30" t="inlineStr">
        <is>
          <t>Satya Premi Nagar (B.B.K)</t>
        </is>
      </c>
      <c r="I248" s="30" t="inlineStr">
        <is>
          <t>8303610216</t>
        </is>
      </c>
      <c r="J248" s="30" t="inlineStr">
        <is>
          <t>Lucknow (LKO)</t>
        </is>
      </c>
      <c r="K248" s="30" t="inlineStr">
        <is>
          <t>Lucknow</t>
        </is>
      </c>
      <c r="L248" s="30" t="inlineStr">
        <is>
          <t>Visit</t>
        </is>
      </c>
      <c r="M248" s="30" t="inlineStr">
        <is>
          <t>25/3/25</t>
        </is>
      </c>
      <c r="N248" s="30" t="inlineStr">
        <is>
          <t>25/3/25 9:47pm</t>
        </is>
      </c>
      <c r="O248" s="30" t="n"/>
    </row>
    <row r="249">
      <c r="A249" s="30" t="n">
        <v>21</v>
      </c>
      <c r="B249" s="30" t="n">
        <v>244</v>
      </c>
      <c r="C249" s="30" t="inlineStr">
        <is>
          <t>Pushpendra Pal / Anju</t>
        </is>
      </c>
      <c r="D249" s="30" t="inlineStr">
        <is>
          <t>28 / 25</t>
        </is>
      </c>
      <c r="E249" s="30" t="inlineStr">
        <is>
          <t>Friend</t>
        </is>
      </c>
      <c r="F249" s="30" t="inlineStr">
        <is>
          <t>Indian (ID 92428332416)</t>
        </is>
      </c>
      <c r="G249" s="30" t="n">
        <v>2</v>
      </c>
      <c r="H249" s="30" t="inlineStr">
        <is>
          <t>Bana Gaon Kanpur / Girsi Gaon Kanpur</t>
        </is>
      </c>
      <c r="I249" s="31" t="inlineStr">
        <is>
          <t>VERIFY 8858787467 / 0931077980</t>
        </is>
      </c>
      <c r="J249" s="30" t="inlineStr">
        <is>
          <t>Kanpur</t>
        </is>
      </c>
      <c r="K249" s="30" t="inlineStr">
        <is>
          <t>Kanpur</t>
        </is>
      </c>
      <c r="L249" s="30" t="inlineStr">
        <is>
          <t>Visit</t>
        </is>
      </c>
      <c r="M249" s="31" t="inlineStr">
        <is>
          <t>VERIFY 28/3/25 9:50am</t>
        </is>
      </c>
      <c r="N249" s="30" t="n"/>
      <c r="O249" s="30" t="inlineStr">
        <is>
          <t>206</t>
        </is>
      </c>
    </row>
    <row r="250">
      <c r="A250" s="30" t="n">
        <v>21</v>
      </c>
      <c r="B250" s="30" t="n">
        <v>245</v>
      </c>
      <c r="C250" s="30" t="inlineStr">
        <is>
          <t>Rekha / (Hindi)</t>
        </is>
      </c>
      <c r="D250" s="30" t="inlineStr">
        <is>
          <t>23 / 25</t>
        </is>
      </c>
      <c r="E250" s="30" t="inlineStr">
        <is>
          <t>Family</t>
        </is>
      </c>
      <c r="F250" s="30" t="inlineStr">
        <is>
          <t>Indian (IDs 504339118311, 8096732912)</t>
        </is>
      </c>
      <c r="G250" s="30" t="n">
        <v>2</v>
      </c>
      <c r="H250" s="30" t="inlineStr">
        <is>
          <t>(Hindi, unclear)</t>
        </is>
      </c>
      <c r="I250" s="30" t="inlineStr">
        <is>
          <t>7991253422 / 8468061150</t>
        </is>
      </c>
      <c r="J250" s="30" t="inlineStr">
        <is>
          <t>Kanpur</t>
        </is>
      </c>
      <c r="K250" s="30" t="inlineStr">
        <is>
          <t>Kanpur</t>
        </is>
      </c>
      <c r="L250" s="30" t="inlineStr">
        <is>
          <t>Visit</t>
        </is>
      </c>
      <c r="M250" s="30" t="inlineStr">
        <is>
          <t>27/3/25 1:25pm</t>
        </is>
      </c>
      <c r="N250" s="30" t="inlineStr">
        <is>
          <t>27/3/25</t>
        </is>
      </c>
      <c r="O250" s="30" t="n"/>
    </row>
    <row r="251">
      <c r="A251" s="30" t="n">
        <v>21</v>
      </c>
      <c r="B251" s="30" t="n">
        <v>246</v>
      </c>
      <c r="C251" s="30" t="inlineStr">
        <is>
          <t>Amit Pal / Shakshi Tiwari</t>
        </is>
      </c>
      <c r="D251" s="30" t="n"/>
      <c r="E251" s="30" t="inlineStr">
        <is>
          <t>Friend</t>
        </is>
      </c>
      <c r="F251" s="30" t="inlineStr">
        <is>
          <t>Indian (IDs 881719681296, 426103674042)</t>
        </is>
      </c>
      <c r="G251" s="30" t="n">
        <v>2</v>
      </c>
      <c r="H251" s="30" t="inlineStr">
        <is>
          <t>Kanpur / Kanpur</t>
        </is>
      </c>
      <c r="I251" s="30" t="inlineStr">
        <is>
          <t>7380621774</t>
        </is>
      </c>
      <c r="J251" s="30" t="inlineStr">
        <is>
          <t>Kanpur</t>
        </is>
      </c>
      <c r="K251" s="30" t="inlineStr">
        <is>
          <t>Kanpur</t>
        </is>
      </c>
      <c r="L251" s="30" t="inlineStr">
        <is>
          <t>Visit</t>
        </is>
      </c>
      <c r="M251" s="30" t="inlineStr">
        <is>
          <t>29/3/25 11:56am</t>
        </is>
      </c>
      <c r="N251" s="30" t="inlineStr">
        <is>
          <t>29/3/25</t>
        </is>
      </c>
      <c r="O251" s="30" t="n"/>
    </row>
    <row r="252">
      <c r="A252" s="30" t="n">
        <v>21</v>
      </c>
      <c r="B252" s="30" t="n">
        <v>247</v>
      </c>
      <c r="C252" s="30" t="inlineStr">
        <is>
          <t>(Hindi, struck) / Rohit Kumar</t>
        </is>
      </c>
      <c r="D252" s="30" t="inlineStr">
        <is>
          <t>18 / 22</t>
        </is>
      </c>
      <c r="E252" s="30" t="inlineStr">
        <is>
          <t>Family</t>
        </is>
      </c>
      <c r="F252" s="30" t="inlineStr">
        <is>
          <t>Indian (IDs 696859893750, 994351704702)</t>
        </is>
      </c>
      <c r="G252" s="30" t="n">
        <v>2</v>
      </c>
      <c r="H252" s="30" t="inlineStr">
        <is>
          <t>Kanpur Dehat / Kanpur Nagar</t>
        </is>
      </c>
      <c r="I252" s="31" t="inlineStr">
        <is>
          <t>VERIFY 8112635630</t>
        </is>
      </c>
      <c r="J252" s="30" t="inlineStr">
        <is>
          <t>Kanpur</t>
        </is>
      </c>
      <c r="K252" s="30" t="inlineStr">
        <is>
          <t>Kanpur</t>
        </is>
      </c>
      <c r="L252" s="30" t="inlineStr">
        <is>
          <t>Visit</t>
        </is>
      </c>
      <c r="M252" s="30" t="inlineStr">
        <is>
          <t>29/3/25 12:15pm</t>
        </is>
      </c>
      <c r="N252" s="30" t="inlineStr">
        <is>
          <t>29/3/25</t>
        </is>
      </c>
      <c r="O252" s="30" t="inlineStr">
        <is>
          <t>205</t>
        </is>
      </c>
    </row>
    <row r="253">
      <c r="A253" s="30" t="n">
        <v>21</v>
      </c>
      <c r="B253" s="30" t="n">
        <v>248</v>
      </c>
      <c r="C253" s="30" t="inlineStr">
        <is>
          <t>Kartikey Agnihotri / Supriya</t>
        </is>
      </c>
      <c r="D253" s="30" t="inlineStr">
        <is>
          <t>20 / 19</t>
        </is>
      </c>
      <c r="E253" s="30" t="inlineStr">
        <is>
          <t>Friend</t>
        </is>
      </c>
      <c r="F253" s="30" t="inlineStr">
        <is>
          <t>Indian (IDs 8317064158, 8957545748)</t>
        </is>
      </c>
      <c r="G253" s="30" t="n">
        <v>2</v>
      </c>
      <c r="H253" s="30" t="inlineStr">
        <is>
          <t>Govind Nagar Kanpur</t>
        </is>
      </c>
      <c r="I253" s="30" t="inlineStr">
        <is>
          <t>8317064158</t>
        </is>
      </c>
      <c r="J253" s="30" t="inlineStr">
        <is>
          <t>Kanpur</t>
        </is>
      </c>
      <c r="K253" s="30" t="inlineStr">
        <is>
          <t>Kanpur</t>
        </is>
      </c>
      <c r="L253" s="30" t="inlineStr">
        <is>
          <t>Visit</t>
        </is>
      </c>
      <c r="M253" s="30" t="inlineStr">
        <is>
          <t>30/3/25</t>
        </is>
      </c>
      <c r="N253" s="30" t="inlineStr">
        <is>
          <t>30/3/25</t>
        </is>
      </c>
      <c r="O253" s="30" t="inlineStr">
        <is>
          <t>202</t>
        </is>
      </c>
    </row>
    <row r="254">
      <c r="A254" s="30" t="n">
        <v>21</v>
      </c>
      <c r="B254" s="30" t="n">
        <v>249</v>
      </c>
      <c r="C254" s="30" t="inlineStr">
        <is>
          <t>Satish / Arti (Hindi)</t>
        </is>
      </c>
      <c r="D254" s="30" t="inlineStr">
        <is>
          <t>24 / 24</t>
        </is>
      </c>
      <c r="E254" s="30" t="inlineStr">
        <is>
          <t>Friend</t>
        </is>
      </c>
      <c r="F254" s="30" t="inlineStr">
        <is>
          <t>Indian (IDs 492301316113, 476830470187)</t>
        </is>
      </c>
      <c r="G254" s="30" t="n">
        <v>2</v>
      </c>
      <c r="H254" s="30" t="inlineStr">
        <is>
          <t>Saket Nagar 10/2, Kanpur (Hindi)</t>
        </is>
      </c>
      <c r="I254" s="30" t="n"/>
      <c r="J254" s="30" t="inlineStr">
        <is>
          <t>Kanpur</t>
        </is>
      </c>
      <c r="K254" s="30" t="inlineStr">
        <is>
          <t>Kanpur</t>
        </is>
      </c>
      <c r="L254" s="30" t="inlineStr">
        <is>
          <t>Visit</t>
        </is>
      </c>
      <c r="M254" s="30" t="inlineStr">
        <is>
          <t>1/4/25 1:35pm</t>
        </is>
      </c>
      <c r="N254" s="30" t="inlineStr">
        <is>
          <t>1/4/25 3:50pm</t>
        </is>
      </c>
      <c r="O254" s="30" t="inlineStr">
        <is>
          <t>205</t>
        </is>
      </c>
    </row>
    <row r="255">
      <c r="A255" s="30" t="n">
        <v>21</v>
      </c>
      <c r="B255" s="30" t="n">
        <v>250</v>
      </c>
      <c r="C255" s="30" t="inlineStr">
        <is>
          <t>Ankit / Nidhi</t>
        </is>
      </c>
      <c r="D255" s="30" t="inlineStr">
        <is>
          <t>20 / 20</t>
        </is>
      </c>
      <c r="E255" s="30" t="inlineStr">
        <is>
          <t>Friend</t>
        </is>
      </c>
      <c r="F255" s="30" t="inlineStr">
        <is>
          <t>Indian (IDs 6178116695, 753221576121)</t>
        </is>
      </c>
      <c r="G255" s="30" t="n">
        <v>2</v>
      </c>
      <c r="H255" s="30" t="inlineStr">
        <is>
          <t>Barra Kanpur / Dhyan Nagar</t>
        </is>
      </c>
      <c r="I255" s="30" t="inlineStr">
        <is>
          <t>9519156931</t>
        </is>
      </c>
      <c r="J255" s="30" t="inlineStr">
        <is>
          <t>Kanpur</t>
        </is>
      </c>
      <c r="K255" s="30" t="inlineStr">
        <is>
          <t>Kanpur</t>
        </is>
      </c>
      <c r="L255" s="30" t="inlineStr">
        <is>
          <t>Visit</t>
        </is>
      </c>
      <c r="M255" s="30" t="inlineStr">
        <is>
          <t>2/4/25 1:20pm</t>
        </is>
      </c>
      <c r="N255" s="30" t="inlineStr">
        <is>
          <t>2/4/25</t>
        </is>
      </c>
      <c r="O255" s="30" t="inlineStr">
        <is>
          <t>204</t>
        </is>
      </c>
    </row>
    <row r="256">
      <c r="A256" s="30" t="n">
        <v>21</v>
      </c>
      <c r="B256" s="30" t="n">
        <v>251</v>
      </c>
      <c r="C256" s="30" t="inlineStr">
        <is>
          <t>Sandeep Kumar / Saloni</t>
        </is>
      </c>
      <c r="D256" s="30" t="inlineStr">
        <is>
          <t>23 / 20</t>
        </is>
      </c>
      <c r="E256" s="30" t="inlineStr">
        <is>
          <t>Friend</t>
        </is>
      </c>
      <c r="F256" s="30" t="inlineStr">
        <is>
          <t>Indian (ID 858598889385)</t>
        </is>
      </c>
      <c r="G256" s="30" t="n">
        <v>2</v>
      </c>
      <c r="H256" s="30" t="inlineStr">
        <is>
          <t>Barra Kanpur / F-511 Barra</t>
        </is>
      </c>
      <c r="I256" s="30" t="inlineStr">
        <is>
          <t>8957011856 / 8303192825</t>
        </is>
      </c>
      <c r="J256" s="30" t="inlineStr">
        <is>
          <t>Kanpur</t>
        </is>
      </c>
      <c r="K256" s="30" t="inlineStr">
        <is>
          <t>Kanpur</t>
        </is>
      </c>
      <c r="L256" s="30" t="inlineStr">
        <is>
          <t>Visit</t>
        </is>
      </c>
      <c r="M256" s="30" t="inlineStr">
        <is>
          <t>2/4/25 2:25pm</t>
        </is>
      </c>
      <c r="N256" s="30" t="inlineStr">
        <is>
          <t>2/4/25</t>
        </is>
      </c>
      <c r="O256" s="30" t="inlineStr">
        <is>
          <t>206</t>
        </is>
      </c>
    </row>
    <row r="257">
      <c r="A257" s="30" t="n">
        <v>21</v>
      </c>
      <c r="B257" s="30" t="n">
        <v>252</v>
      </c>
      <c r="C257" s="30" t="inlineStr">
        <is>
          <t>Shailendra / Abhilasha</t>
        </is>
      </c>
      <c r="D257" s="30" t="inlineStr">
        <is>
          <t>23 / 23</t>
        </is>
      </c>
      <c r="E257" s="30" t="inlineStr">
        <is>
          <t>Friend</t>
        </is>
      </c>
      <c r="F257" s="30" t="inlineStr">
        <is>
          <t>Indian (ID 7905800319)</t>
        </is>
      </c>
      <c r="G257" s="30" t="n">
        <v>2</v>
      </c>
      <c r="H257" s="30" t="inlineStr">
        <is>
          <t>Naubasta / Naubasta</t>
        </is>
      </c>
      <c r="I257" s="30" t="inlineStr">
        <is>
          <t>7905800319</t>
        </is>
      </c>
      <c r="J257" s="30" t="inlineStr">
        <is>
          <t>Kanpur</t>
        </is>
      </c>
      <c r="K257" s="30" t="inlineStr">
        <is>
          <t>Kanpur</t>
        </is>
      </c>
      <c r="L257" s="30" t="inlineStr">
        <is>
          <t>Visit</t>
        </is>
      </c>
      <c r="M257" s="30" t="inlineStr">
        <is>
          <t>3/4/25 2:25pm</t>
        </is>
      </c>
      <c r="N257" s="30" t="inlineStr">
        <is>
          <t>3/4/25</t>
        </is>
      </c>
      <c r="O257" s="30" t="inlineStr">
        <is>
          <t>205</t>
        </is>
      </c>
    </row>
    <row r="258">
      <c r="A258" s="30" t="n">
        <v>22</v>
      </c>
      <c r="B258" s="30" t="n">
        <v>253</v>
      </c>
      <c r="C258" s="30" t="inlineStr">
        <is>
          <t>Aditya / Chandni</t>
        </is>
      </c>
      <c r="D258" s="30" t="inlineStr">
        <is>
          <t>21 / 19</t>
        </is>
      </c>
      <c r="E258" s="30" t="inlineStr">
        <is>
          <t>Friend</t>
        </is>
      </c>
      <c r="F258" s="30" t="inlineStr">
        <is>
          <t>Indian (IDs 870173928832, 36061812954)</t>
        </is>
      </c>
      <c r="G258" s="30" t="n">
        <v>2</v>
      </c>
      <c r="H258" s="30" t="inlineStr">
        <is>
          <t>Awas Vikas / Awas Vikas</t>
        </is>
      </c>
      <c r="I258" s="30" t="inlineStr">
        <is>
          <t>8115705855</t>
        </is>
      </c>
      <c r="J258" s="30" t="inlineStr">
        <is>
          <t>Kanpur</t>
        </is>
      </c>
      <c r="K258" s="30" t="inlineStr">
        <is>
          <t>Kanpur</t>
        </is>
      </c>
      <c r="L258" s="30" t="inlineStr">
        <is>
          <t>Visit</t>
        </is>
      </c>
      <c r="M258" s="30" t="inlineStr">
        <is>
          <t>3/4/25 2:14pm</t>
        </is>
      </c>
      <c r="N258" s="30" t="inlineStr">
        <is>
          <t>3/4/25</t>
        </is>
      </c>
      <c r="O258" s="30" t="inlineStr">
        <is>
          <t>202</t>
        </is>
      </c>
    </row>
    <row r="259">
      <c r="A259" s="30" t="n">
        <v>22</v>
      </c>
      <c r="B259" s="30" t="n">
        <v>254</v>
      </c>
      <c r="C259" s="30" t="inlineStr">
        <is>
          <t>(blank row in register)</t>
        </is>
      </c>
      <c r="D259" s="3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0" t="n"/>
    </row>
    <row r="260">
      <c r="A260" s="30" t="n">
        <v>22</v>
      </c>
      <c r="B260" s="30" t="n">
        <v>255</v>
      </c>
      <c r="C260" s="30" t="inlineStr">
        <is>
          <t>Aditya / Priyanka</t>
        </is>
      </c>
      <c r="D260" s="30" t="n"/>
      <c r="E260" s="30" t="n"/>
      <c r="F260" s="30" t="inlineStr">
        <is>
          <t>Indian</t>
        </is>
      </c>
      <c r="G260" s="30" t="n">
        <v>2</v>
      </c>
      <c r="H260" s="30" t="inlineStr">
        <is>
          <t>-</t>
        </is>
      </c>
      <c r="I260" s="30" t="n"/>
      <c r="J260" s="30" t="inlineStr">
        <is>
          <t>Kanpur</t>
        </is>
      </c>
      <c r="K260" s="30" t="inlineStr">
        <is>
          <t>Kanpur</t>
        </is>
      </c>
      <c r="L260" s="30" t="inlineStr">
        <is>
          <t>Visit</t>
        </is>
      </c>
      <c r="M260" s="30" t="n"/>
      <c r="N260" s="30" t="n"/>
      <c r="O260" s="30" t="n"/>
    </row>
    <row r="261">
      <c r="A261" s="30" t="n">
        <v>22</v>
      </c>
      <c r="B261" s="30" t="n">
        <v>256</v>
      </c>
      <c r="C261" s="30" t="inlineStr">
        <is>
          <t>Alok / Aarti</t>
        </is>
      </c>
      <c r="D261" s="30" t="inlineStr">
        <is>
          <t>21 / 25</t>
        </is>
      </c>
      <c r="E261" s="30" t="inlineStr">
        <is>
          <t>Friend</t>
        </is>
      </c>
      <c r="F261" s="30" t="inlineStr">
        <is>
          <t>Indian (IDs 869854011974, 245808476904)</t>
        </is>
      </c>
      <c r="G261" s="30" t="n">
        <v>2</v>
      </c>
      <c r="H261" s="30" t="inlineStr">
        <is>
          <t>Mini L.I.G 132 / Ratan Lal Nagar</t>
        </is>
      </c>
      <c r="I261" s="30" t="inlineStr">
        <is>
          <t>7080956577</t>
        </is>
      </c>
      <c r="J261" s="30" t="inlineStr">
        <is>
          <t>Kanpur</t>
        </is>
      </c>
      <c r="K261" s="30" t="inlineStr">
        <is>
          <t>Kanpur</t>
        </is>
      </c>
      <c r="L261" s="30" t="inlineStr">
        <is>
          <t>Visit</t>
        </is>
      </c>
      <c r="M261" s="30" t="inlineStr">
        <is>
          <t>5/4/25 11:56am</t>
        </is>
      </c>
      <c r="N261" s="30" t="inlineStr">
        <is>
          <t>5/4/25 3:54pm</t>
        </is>
      </c>
      <c r="O261" s="30" t="inlineStr">
        <is>
          <t>205</t>
        </is>
      </c>
    </row>
    <row r="262">
      <c r="A262" s="30" t="n">
        <v>22</v>
      </c>
      <c r="B262" s="30" t="n">
        <v>257</v>
      </c>
      <c r="C262" s="30" t="inlineStr">
        <is>
          <t>Anjali / Abhay</t>
        </is>
      </c>
      <c r="D262" s="30" t="inlineStr">
        <is>
          <t>20 / 20</t>
        </is>
      </c>
      <c r="E262" s="30" t="inlineStr">
        <is>
          <t>Friend</t>
        </is>
      </c>
      <c r="F262" s="30" t="inlineStr">
        <is>
          <t>Indian (IDs 309719208445, 501274126550)</t>
        </is>
      </c>
      <c r="G262" s="30" t="n">
        <v>2</v>
      </c>
      <c r="H262" s="30" t="inlineStr">
        <is>
          <t>995 Dwivedi Nagar / Baktauri Purwa</t>
        </is>
      </c>
      <c r="I262" s="31" t="inlineStr">
        <is>
          <t>9696972862 / VERIFY 9639293908</t>
        </is>
      </c>
      <c r="J262" s="30" t="inlineStr">
        <is>
          <t>Kanpur</t>
        </is>
      </c>
      <c r="K262" s="30" t="inlineStr">
        <is>
          <t>Kanpur</t>
        </is>
      </c>
      <c r="L262" s="30" t="inlineStr">
        <is>
          <t>Visit</t>
        </is>
      </c>
      <c r="M262" s="30" t="inlineStr">
        <is>
          <t>5/4/25 2:37pm</t>
        </is>
      </c>
      <c r="N262" s="30" t="inlineStr">
        <is>
          <t>5/4/25</t>
        </is>
      </c>
      <c r="O262" s="30" t="inlineStr">
        <is>
          <t>203</t>
        </is>
      </c>
    </row>
    <row r="263">
      <c r="A263" s="30" t="n">
        <v>22</v>
      </c>
      <c r="B263" s="30" t="n">
        <v>258</v>
      </c>
      <c r="C263" s="30" t="inlineStr">
        <is>
          <t>Vinay / Shivani</t>
        </is>
      </c>
      <c r="D263" s="30" t="inlineStr">
        <is>
          <t>28 / 27</t>
        </is>
      </c>
      <c r="E263" s="30" t="inlineStr">
        <is>
          <t>Friend</t>
        </is>
      </c>
      <c r="F263" s="30" t="inlineStr">
        <is>
          <t>Indian (ID 649427882116)</t>
        </is>
      </c>
      <c r="G263" s="30" t="n">
        <v>2</v>
      </c>
      <c r="H263" s="30" t="inlineStr">
        <is>
          <t>Vishwa Bank Barra</t>
        </is>
      </c>
      <c r="I263" s="30" t="inlineStr">
        <is>
          <t>7071038260</t>
        </is>
      </c>
      <c r="J263" s="30" t="inlineStr">
        <is>
          <t>Kanpur</t>
        </is>
      </c>
      <c r="K263" s="30" t="inlineStr">
        <is>
          <t>Kanpur</t>
        </is>
      </c>
      <c r="L263" s="30" t="inlineStr">
        <is>
          <t>Visit</t>
        </is>
      </c>
      <c r="M263" s="30" t="inlineStr">
        <is>
          <t>5/4/25 2:40pm</t>
        </is>
      </c>
      <c r="N263" s="30" t="inlineStr">
        <is>
          <t>5/4/25</t>
        </is>
      </c>
      <c r="O263" s="30" t="n"/>
    </row>
    <row r="264">
      <c r="A264" s="30" t="n">
        <v>22</v>
      </c>
      <c r="B264" s="30" t="n">
        <v>259</v>
      </c>
      <c r="C264" s="30" t="inlineStr">
        <is>
          <t>Abhay / Anjali</t>
        </is>
      </c>
      <c r="D264" s="30" t="inlineStr">
        <is>
          <t>20 / 20</t>
        </is>
      </c>
      <c r="E264" s="30" t="inlineStr">
        <is>
          <t>Friend</t>
        </is>
      </c>
      <c r="F264" s="30" t="inlineStr">
        <is>
          <t>Indian (IDs 307719203443, 501274126550)</t>
        </is>
      </c>
      <c r="G264" s="30" t="n">
        <v>2</v>
      </c>
      <c r="H264" s="30" t="inlineStr">
        <is>
          <t>995 Dwivedi Nagar / Bakhtauri Purwa</t>
        </is>
      </c>
      <c r="I264" s="30" t="inlineStr">
        <is>
          <t>7071038260</t>
        </is>
      </c>
      <c r="J264" s="30" t="inlineStr">
        <is>
          <t>Kanpur</t>
        </is>
      </c>
      <c r="K264" s="30" t="inlineStr">
        <is>
          <t>Kanpur</t>
        </is>
      </c>
      <c r="L264" s="30" t="inlineStr">
        <is>
          <t>Visit</t>
        </is>
      </c>
      <c r="M264" s="30" t="inlineStr">
        <is>
          <t>6/4/25 1:09pm</t>
        </is>
      </c>
      <c r="N264" s="30" t="n"/>
      <c r="O264" s="30" t="n"/>
    </row>
    <row r="265">
      <c r="A265" s="30" t="n">
        <v>22</v>
      </c>
      <c r="B265" s="30" t="n">
        <v>260</v>
      </c>
      <c r="C265" s="30" t="inlineStr">
        <is>
          <t>Sunil Sachan / Rekha</t>
        </is>
      </c>
      <c r="D265" s="30" t="n"/>
      <c r="E265" s="30" t="n"/>
      <c r="F265" s="30" t="inlineStr">
        <is>
          <t>Indian</t>
        </is>
      </c>
      <c r="G265" s="30" t="n">
        <v>2</v>
      </c>
      <c r="H265" s="30" t="inlineStr">
        <is>
          <t>-</t>
        </is>
      </c>
      <c r="I265" s="30" t="n"/>
      <c r="J265" s="30" t="inlineStr">
        <is>
          <t>Kanpur</t>
        </is>
      </c>
      <c r="K265" s="30" t="inlineStr">
        <is>
          <t>Kanpur</t>
        </is>
      </c>
      <c r="L265" s="30" t="inlineStr">
        <is>
          <t>Visit</t>
        </is>
      </c>
      <c r="M265" s="30" t="n"/>
      <c r="N265" s="30" t="n"/>
      <c r="O265" s="30" t="n"/>
    </row>
    <row r="266">
      <c r="A266" s="30" t="n">
        <v>22</v>
      </c>
      <c r="B266" s="30" t="n">
        <v>261</v>
      </c>
      <c r="C266" s="30" t="inlineStr">
        <is>
          <t>Avinash / Saloni</t>
        </is>
      </c>
      <c r="D266" s="30" t="inlineStr">
        <is>
          <t>25 / 22</t>
        </is>
      </c>
      <c r="E266" s="30" t="inlineStr">
        <is>
          <t>Friend</t>
        </is>
      </c>
      <c r="F266" s="30" t="inlineStr">
        <is>
          <t>Indian (IDs 98806395608, 0929890123)</t>
        </is>
      </c>
      <c r="G266" s="30" t="n">
        <v>2</v>
      </c>
      <c r="H266" s="30" t="inlineStr">
        <is>
          <t>Pipauri / Naubasta</t>
        </is>
      </c>
      <c r="I266" s="30" t="inlineStr">
        <is>
          <t>7521922052</t>
        </is>
      </c>
      <c r="J266" s="30" t="inlineStr">
        <is>
          <t>Kanpur</t>
        </is>
      </c>
      <c r="K266" s="30" t="inlineStr">
        <is>
          <t>Kanpur</t>
        </is>
      </c>
      <c r="L266" s="30" t="inlineStr">
        <is>
          <t>Visit</t>
        </is>
      </c>
      <c r="M266" s="30" t="inlineStr">
        <is>
          <t>6/4/25 8:15</t>
        </is>
      </c>
      <c r="N266" s="30" t="inlineStr">
        <is>
          <t>6/4/25</t>
        </is>
      </c>
      <c r="O266" s="30" t="inlineStr">
        <is>
          <t>206</t>
        </is>
      </c>
    </row>
    <row r="267">
      <c r="A267" s="30" t="n">
        <v>22</v>
      </c>
      <c r="B267" s="30" t="n">
        <v>262</v>
      </c>
      <c r="C267" s="30" t="inlineStr">
        <is>
          <t>Aman / Shivani</t>
        </is>
      </c>
      <c r="D267" s="30" t="n"/>
      <c r="E267" s="30" t="n"/>
      <c r="F267" s="30" t="inlineStr">
        <is>
          <t>Indian (ID 277644727202)</t>
        </is>
      </c>
      <c r="G267" s="30" t="n">
        <v>2</v>
      </c>
      <c r="H267" s="30" t="inlineStr">
        <is>
          <t>-</t>
        </is>
      </c>
      <c r="I267" s="30" t="inlineStr">
        <is>
          <t>6394658814</t>
        </is>
      </c>
      <c r="J267" s="30" t="inlineStr">
        <is>
          <t>Kanpur</t>
        </is>
      </c>
      <c r="K267" s="30" t="inlineStr">
        <is>
          <t>Kanpur</t>
        </is>
      </c>
      <c r="L267" s="30" t="inlineStr">
        <is>
          <t>Visit</t>
        </is>
      </c>
      <c r="M267" s="30" t="n"/>
      <c r="N267" s="30" t="n"/>
      <c r="O267" s="30" t="n"/>
    </row>
    <row r="268">
      <c r="A268" s="30" t="n">
        <v>22</v>
      </c>
      <c r="B268" s="30" t="n">
        <v>263</v>
      </c>
      <c r="C268" s="30" t="inlineStr">
        <is>
          <t>Sandeep / Saloni</t>
        </is>
      </c>
      <c r="D268" s="30" t="inlineStr">
        <is>
          <t>23 / 20</t>
        </is>
      </c>
      <c r="E268" s="30" t="inlineStr">
        <is>
          <t>Friend</t>
        </is>
      </c>
      <c r="F268" s="30" t="inlineStr">
        <is>
          <t>Indian (IDs 858598889385, 0835767120)</t>
        </is>
      </c>
      <c r="G268" s="30" t="n">
        <v>2</v>
      </c>
      <c r="H268" s="30" t="inlineStr">
        <is>
          <t>Barra 85/11 / Barra F-886</t>
        </is>
      </c>
      <c r="I268" s="30" t="inlineStr">
        <is>
          <t>8957011856 / 8317031980</t>
        </is>
      </c>
      <c r="J268" s="30" t="inlineStr">
        <is>
          <t>Kanpur</t>
        </is>
      </c>
      <c r="K268" s="30" t="inlineStr">
        <is>
          <t>Kanpur</t>
        </is>
      </c>
      <c r="L268" s="30" t="inlineStr">
        <is>
          <t>Visit</t>
        </is>
      </c>
      <c r="M268" s="30" t="inlineStr">
        <is>
          <t>7/4/25 9:00</t>
        </is>
      </c>
      <c r="N268" s="30" t="n"/>
      <c r="O268" s="30" t="inlineStr">
        <is>
          <t>205</t>
        </is>
      </c>
    </row>
    <row r="269">
      <c r="A269" s="30" t="n">
        <v>22</v>
      </c>
      <c r="B269" s="30" t="n">
        <v>264</v>
      </c>
      <c r="C269" s="30" t="inlineStr">
        <is>
          <t>Deeksha Katiyar / (Hindi) Gautam</t>
        </is>
      </c>
      <c r="D269" s="30" t="inlineStr">
        <is>
          <t>19 / 22</t>
        </is>
      </c>
      <c r="E269" s="30" t="inlineStr">
        <is>
          <t>Family</t>
        </is>
      </c>
      <c r="F269" s="30" t="inlineStr">
        <is>
          <t>Indian (IDs 696859893750, 34351704702)</t>
        </is>
      </c>
      <c r="G269" s="30" t="n">
        <v>2</v>
      </c>
      <c r="H269" s="30" t="inlineStr">
        <is>
          <t>Gopalpur (Hindi)</t>
        </is>
      </c>
      <c r="I269" s="31" t="inlineStr">
        <is>
          <t>VERIFY 84128836 (incomplete)</t>
        </is>
      </c>
      <c r="J269" s="30" t="inlineStr">
        <is>
          <t>Kanpur</t>
        </is>
      </c>
      <c r="K269" s="30" t="inlineStr">
        <is>
          <t>Kanpur</t>
        </is>
      </c>
      <c r="L269" s="30" t="inlineStr">
        <is>
          <t>Visit</t>
        </is>
      </c>
      <c r="M269" s="30" t="inlineStr">
        <is>
          <t>7/4/25 8:07</t>
        </is>
      </c>
      <c r="N269" s="30" t="inlineStr">
        <is>
          <t>7/4/25 8:30</t>
        </is>
      </c>
      <c r="O269" s="30" t="inlineStr">
        <is>
          <t>203</t>
        </is>
      </c>
    </row>
    <row r="270">
      <c r="A270" s="30" t="n">
        <v>22</v>
      </c>
      <c r="B270" s="30" t="n">
        <v>265</v>
      </c>
      <c r="C270" s="30" t="inlineStr">
        <is>
          <t>Zishan Ahmed / Rabiya Khan (Hindi)</t>
        </is>
      </c>
      <c r="D270" s="30" t="inlineStr">
        <is>
          <t>43 / 38</t>
        </is>
      </c>
      <c r="E270" s="30" t="inlineStr">
        <is>
          <t>Friend</t>
        </is>
      </c>
      <c r="F270" s="30" t="inlineStr">
        <is>
          <t>Indian (IDs 438859390082, 794868564596)</t>
        </is>
      </c>
      <c r="G270" s="30" t="n">
        <v>2</v>
      </c>
      <c r="H270" s="30" t="inlineStr">
        <is>
          <t>Kakadeo Kanpur / Naubasta Kanpur</t>
        </is>
      </c>
      <c r="I270" s="30" t="inlineStr">
        <is>
          <t>9696911758</t>
        </is>
      </c>
      <c r="J270" s="30" t="inlineStr">
        <is>
          <t>Kanpur</t>
        </is>
      </c>
      <c r="K270" s="30" t="inlineStr">
        <is>
          <t>Kanpur</t>
        </is>
      </c>
      <c r="L270" s="30" t="inlineStr">
        <is>
          <t>Visit</t>
        </is>
      </c>
      <c r="M270" s="30" t="inlineStr">
        <is>
          <t>8/4/25 5:15pm</t>
        </is>
      </c>
      <c r="N270" s="30" t="inlineStr">
        <is>
          <t>8/4/25 10:00pm</t>
        </is>
      </c>
      <c r="O270" s="30" t="inlineStr">
        <is>
          <t>201</t>
        </is>
      </c>
    </row>
    <row r="271">
      <c r="A271" s="30" t="n">
        <v>23</v>
      </c>
      <c r="B271" s="30" t="n">
        <v>266</v>
      </c>
      <c r="C271" s="30" t="inlineStr">
        <is>
          <t>Arun Gupta / Anchal Rathore</t>
        </is>
      </c>
      <c r="D271" s="30" t="inlineStr">
        <is>
          <t>28 / 24</t>
        </is>
      </c>
      <c r="E271" s="30" t="inlineStr">
        <is>
          <t>Friend</t>
        </is>
      </c>
      <c r="F271" s="30" t="inlineStr">
        <is>
          <t>Indian (IDs 258524852, 91918816628)</t>
        </is>
      </c>
      <c r="G271" s="30" t="n">
        <v>2</v>
      </c>
      <c r="H271" s="30" t="inlineStr">
        <is>
          <t>B84 Barra-8 / Damodar Nagar</t>
        </is>
      </c>
      <c r="I271" s="31" t="inlineStr">
        <is>
          <t>VERIFY 6392529738</t>
        </is>
      </c>
      <c r="J271" s="30" t="inlineStr">
        <is>
          <t>Kanpur</t>
        </is>
      </c>
      <c r="K271" s="30" t="inlineStr">
        <is>
          <t>Kanpur</t>
        </is>
      </c>
      <c r="L271" s="30" t="inlineStr">
        <is>
          <t>Visit</t>
        </is>
      </c>
      <c r="M271" s="30" t="inlineStr">
        <is>
          <t>8/4/25 10:28am</t>
        </is>
      </c>
      <c r="N271" s="30" t="inlineStr">
        <is>
          <t>8/4/25</t>
        </is>
      </c>
      <c r="O271" s="30" t="inlineStr">
        <is>
          <t>206</t>
        </is>
      </c>
    </row>
    <row r="272">
      <c r="A272" s="30" t="n">
        <v>23</v>
      </c>
      <c r="B272" s="30" t="n">
        <v>267</v>
      </c>
      <c r="C272" s="30" t="inlineStr">
        <is>
          <t>Aditya Pal / Sanjana</t>
        </is>
      </c>
      <c r="D272" s="30" t="inlineStr">
        <is>
          <t>21 / 19</t>
        </is>
      </c>
      <c r="E272" s="30" t="inlineStr">
        <is>
          <t>Friend</t>
        </is>
      </c>
      <c r="F272" s="30" t="inlineStr">
        <is>
          <t>Indian (IDs 87017207, 32054884569)</t>
        </is>
      </c>
      <c r="G272" s="30" t="n">
        <v>2</v>
      </c>
      <c r="H272" s="30" t="inlineStr">
        <is>
          <t>Awas Vikas / Awas Vikas</t>
        </is>
      </c>
      <c r="I272" s="30" t="inlineStr">
        <is>
          <t>8115705855</t>
        </is>
      </c>
      <c r="J272" s="30" t="inlineStr">
        <is>
          <t>Kanpur</t>
        </is>
      </c>
      <c r="K272" s="30" t="inlineStr">
        <is>
          <t>Kanpur</t>
        </is>
      </c>
      <c r="L272" s="30" t="inlineStr">
        <is>
          <t>Visit</t>
        </is>
      </c>
      <c r="M272" s="30" t="inlineStr">
        <is>
          <t>8/4/25 11:02am</t>
        </is>
      </c>
      <c r="N272" s="30" t="inlineStr">
        <is>
          <t>8/4/25 1:10pm</t>
        </is>
      </c>
      <c r="O272" s="30" t="inlineStr">
        <is>
          <t>205</t>
        </is>
      </c>
    </row>
    <row r="273">
      <c r="A273" s="30" t="n">
        <v>23</v>
      </c>
      <c r="B273" s="30" t="n">
        <v>268</v>
      </c>
      <c r="C273" s="30" t="inlineStr">
        <is>
          <t>Adhiket / Nancy</t>
        </is>
      </c>
      <c r="D273" s="30" t="inlineStr">
        <is>
          <t>22 / 22</t>
        </is>
      </c>
      <c r="E273" s="30" t="inlineStr">
        <is>
          <t>Friend</t>
        </is>
      </c>
      <c r="F273" s="30" t="inlineStr">
        <is>
          <t>Indian (IDs 97005514891, 695440335043)</t>
        </is>
      </c>
      <c r="G273" s="30" t="n">
        <v>2</v>
      </c>
      <c r="H273" s="30" t="inlineStr">
        <is>
          <t>Kanithalha / Patesi (unclear)</t>
        </is>
      </c>
      <c r="I273" s="30" t="inlineStr">
        <is>
          <t>8858794309</t>
        </is>
      </c>
      <c r="J273" s="30" t="inlineStr">
        <is>
          <t>Kanpur</t>
        </is>
      </c>
      <c r="K273" s="30" t="inlineStr">
        <is>
          <t>Kanpur</t>
        </is>
      </c>
      <c r="L273" s="30" t="inlineStr">
        <is>
          <t>Visit</t>
        </is>
      </c>
      <c r="M273" s="30" t="inlineStr">
        <is>
          <t>8/4/25 12:19pm</t>
        </is>
      </c>
      <c r="N273" s="30" t="inlineStr">
        <is>
          <t>8/4/25</t>
        </is>
      </c>
      <c r="O273" s="30" t="inlineStr">
        <is>
          <t>203</t>
        </is>
      </c>
    </row>
    <row r="274">
      <c r="A274" s="30" t="n">
        <v>23</v>
      </c>
      <c r="B274" s="30" t="n">
        <v>269</v>
      </c>
      <c r="C274" s="30" t="inlineStr">
        <is>
          <t>Kartikey / Supriya</t>
        </is>
      </c>
      <c r="D274" s="30" t="inlineStr">
        <is>
          <t>20 / 19</t>
        </is>
      </c>
      <c r="E274" s="30" t="inlineStr">
        <is>
          <t>Friend</t>
        </is>
      </c>
      <c r="F274" s="30" t="inlineStr">
        <is>
          <t>Indian (IDs 428805573368, 218673171589)</t>
        </is>
      </c>
      <c r="G274" s="30" t="n">
        <v>2</v>
      </c>
      <c r="H274" s="30" t="inlineStr">
        <is>
          <t>126/91 Block H, Govind Nagar, Kanpur</t>
        </is>
      </c>
      <c r="I274" s="30" t="inlineStr">
        <is>
          <t>8317064158</t>
        </is>
      </c>
      <c r="J274" s="30" t="inlineStr">
        <is>
          <t>Kanpur</t>
        </is>
      </c>
      <c r="K274" s="30" t="inlineStr">
        <is>
          <t>Kanpur</t>
        </is>
      </c>
      <c r="L274" s="30" t="inlineStr">
        <is>
          <t>Visit</t>
        </is>
      </c>
      <c r="M274" s="30" t="inlineStr">
        <is>
          <t>8/4/25 12:56pm</t>
        </is>
      </c>
      <c r="N274" s="30" t="inlineStr">
        <is>
          <t>8/4/25</t>
        </is>
      </c>
      <c r="O274" s="30" t="inlineStr">
        <is>
          <t>202</t>
        </is>
      </c>
    </row>
    <row r="275">
      <c r="A275" s="30" t="n">
        <v>23</v>
      </c>
      <c r="B275" s="30" t="n">
        <v>270</v>
      </c>
      <c r="C275" s="30" t="inlineStr">
        <is>
          <t>Naitik / Arti</t>
        </is>
      </c>
      <c r="D275" s="30" t="inlineStr">
        <is>
          <t>21 / 22</t>
        </is>
      </c>
      <c r="E275" s="30" t="inlineStr">
        <is>
          <t>Friend</t>
        </is>
      </c>
      <c r="F275" s="30" t="inlineStr">
        <is>
          <t>Indian (IDs 426777347831, 450367271649)</t>
        </is>
      </c>
      <c r="G275" s="30" t="n">
        <v>2</v>
      </c>
      <c r="H275" s="30" t="inlineStr">
        <is>
          <t>175/2 Sanjay Gandhi Nagar</t>
        </is>
      </c>
      <c r="I275" s="30" t="inlineStr">
        <is>
          <t>8429360908</t>
        </is>
      </c>
      <c r="J275" s="30" t="inlineStr">
        <is>
          <t>Kanpur</t>
        </is>
      </c>
      <c r="K275" s="30" t="inlineStr">
        <is>
          <t>Kanpur</t>
        </is>
      </c>
      <c r="L275" s="30" t="inlineStr">
        <is>
          <t>Visit</t>
        </is>
      </c>
      <c r="M275" s="30" t="inlineStr">
        <is>
          <t>9/4/25</t>
        </is>
      </c>
      <c r="N275" s="30" t="inlineStr">
        <is>
          <t>9/4/25</t>
        </is>
      </c>
      <c r="O275" s="30" t="n"/>
    </row>
    <row r="276">
      <c r="A276" s="30" t="n">
        <v>23</v>
      </c>
      <c r="B276" s="30" t="n">
        <v>271</v>
      </c>
      <c r="C276" s="30" t="inlineStr">
        <is>
          <t>(Hindi names, unclear)</t>
        </is>
      </c>
      <c r="D276" s="30" t="n"/>
      <c r="E276" s="30" t="n"/>
      <c r="F276" s="30" t="n"/>
      <c r="G276" s="30" t="n"/>
      <c r="H276" s="30" t="inlineStr">
        <is>
          <t>-</t>
        </is>
      </c>
      <c r="I276" s="30" t="n"/>
      <c r="J276" s="30" t="n"/>
      <c r="K276" s="30" t="n"/>
      <c r="L276" s="30" t="n"/>
      <c r="M276" s="30" t="n"/>
      <c r="N276" s="30" t="n"/>
      <c r="O276" s="30" t="n"/>
    </row>
    <row r="277">
      <c r="A277" s="30" t="n">
        <v>23</v>
      </c>
      <c r="B277" s="30" t="n">
        <v>272</v>
      </c>
      <c r="C277" s="30" t="inlineStr">
        <is>
          <t>(Hindi) Aditya / Sheetal Singh</t>
        </is>
      </c>
      <c r="D277" s="30" t="inlineStr">
        <is>
          <t>28 / 27</t>
        </is>
      </c>
      <c r="E277" s="30" t="n"/>
      <c r="F277" s="30" t="inlineStr">
        <is>
          <t>Indian (IDs 660563195001, 704072400474)</t>
        </is>
      </c>
      <c r="G277" s="30" t="n">
        <v>2</v>
      </c>
      <c r="H277" s="30" t="inlineStr">
        <is>
          <t>4E-461 (Hindi)</t>
        </is>
      </c>
      <c r="I277" s="30" t="inlineStr">
        <is>
          <t>9839724603</t>
        </is>
      </c>
      <c r="J277" s="30" t="inlineStr">
        <is>
          <t>Kanpur</t>
        </is>
      </c>
      <c r="K277" s="30" t="inlineStr">
        <is>
          <t>Kanpur</t>
        </is>
      </c>
      <c r="L277" s="30" t="inlineStr">
        <is>
          <t>Visit</t>
        </is>
      </c>
      <c r="M277" s="30" t="inlineStr">
        <is>
          <t>11/4/25 8:25pm</t>
        </is>
      </c>
      <c r="N277" s="30" t="inlineStr">
        <is>
          <t>11/4/25</t>
        </is>
      </c>
      <c r="O277" s="30" t="n"/>
    </row>
    <row r="278">
      <c r="A278" s="30" t="n">
        <v>23</v>
      </c>
      <c r="B278" s="30" t="n">
        <v>273</v>
      </c>
      <c r="C278" s="30" t="inlineStr">
        <is>
          <t>Sandeep Kumar / Saloni (Hindi)</t>
        </is>
      </c>
      <c r="D278" s="30" t="inlineStr">
        <is>
          <t>23 / 20</t>
        </is>
      </c>
      <c r="E278" s="30" t="n"/>
      <c r="F278" s="30" t="inlineStr">
        <is>
          <t>Indian (ID 858598889385)</t>
        </is>
      </c>
      <c r="G278" s="30" t="n">
        <v>2</v>
      </c>
      <c r="H278" s="30" t="inlineStr">
        <is>
          <t>F-511 Barra Kanpur</t>
        </is>
      </c>
      <c r="I278" s="30" t="inlineStr">
        <is>
          <t>8957011856 / 83031925</t>
        </is>
      </c>
      <c r="J278" s="30" t="inlineStr">
        <is>
          <t>Kanpur</t>
        </is>
      </c>
      <c r="K278" s="30" t="inlineStr">
        <is>
          <t>Kanpur</t>
        </is>
      </c>
      <c r="L278" s="30" t="inlineStr">
        <is>
          <t>Visit</t>
        </is>
      </c>
      <c r="M278" s="30" t="inlineStr">
        <is>
          <t>12/4/25 2:02pm</t>
        </is>
      </c>
      <c r="N278" s="30" t="inlineStr">
        <is>
          <t>12/4/25</t>
        </is>
      </c>
      <c r="O278" s="30" t="n"/>
    </row>
    <row r="279">
      <c r="A279" s="30" t="n">
        <v>23</v>
      </c>
      <c r="B279" s="30" t="n">
        <v>274</v>
      </c>
      <c r="C279" s="30" t="inlineStr">
        <is>
          <t>Nikhil / Anu</t>
        </is>
      </c>
      <c r="D279" s="30" t="inlineStr">
        <is>
          <t>22 / 21</t>
        </is>
      </c>
      <c r="E279" s="30" t="n"/>
      <c r="F279" s="30" t="inlineStr">
        <is>
          <t>Indian (PAN CRLPC6404M)</t>
        </is>
      </c>
      <c r="G279" s="30" t="n">
        <v>2</v>
      </c>
      <c r="H279" s="30" t="inlineStr">
        <is>
          <t>104 Asha Nagar</t>
        </is>
      </c>
      <c r="I279" s="30" t="inlineStr">
        <is>
          <t>7309064199</t>
        </is>
      </c>
      <c r="J279" s="30" t="inlineStr">
        <is>
          <t>Kanpur</t>
        </is>
      </c>
      <c r="K279" s="30" t="inlineStr">
        <is>
          <t>Kanpur</t>
        </is>
      </c>
      <c r="L279" s="30" t="inlineStr">
        <is>
          <t>Visit</t>
        </is>
      </c>
      <c r="M279" s="30" t="inlineStr">
        <is>
          <t>12/4/25 2:50pm</t>
        </is>
      </c>
      <c r="N279" s="30" t="inlineStr">
        <is>
          <t>12/4/25</t>
        </is>
      </c>
      <c r="O279" s="30" t="n"/>
    </row>
    <row r="280">
      <c r="A280" s="30" t="n">
        <v>23</v>
      </c>
      <c r="B280" s="30" t="n">
        <v>275</v>
      </c>
      <c r="C280" s="30" t="inlineStr">
        <is>
          <t>(Hindi) Aditya / Disha Singh</t>
        </is>
      </c>
      <c r="D280" s="30" t="n"/>
      <c r="E280" s="30" t="n"/>
      <c r="F280" s="30" t="inlineStr">
        <is>
          <t>Indian</t>
        </is>
      </c>
      <c r="G280" s="30" t="n">
        <v>2</v>
      </c>
      <c r="H280" s="30" t="inlineStr">
        <is>
          <t>-</t>
        </is>
      </c>
      <c r="I280" s="30" t="n"/>
      <c r="J280" s="30" t="n"/>
      <c r="K280" s="30" t="n"/>
      <c r="L280" s="30" t="n"/>
      <c r="M280" s="30" t="n"/>
      <c r="N280" s="30" t="n"/>
      <c r="O280" s="30" t="n"/>
    </row>
    <row r="281">
      <c r="A281" s="30" t="n">
        <v>23</v>
      </c>
      <c r="B281" s="30" t="n">
        <v>276</v>
      </c>
      <c r="C281" s="30" t="inlineStr">
        <is>
          <t>Avinash / Saloni</t>
        </is>
      </c>
      <c r="D281" s="30" t="n"/>
      <c r="E281" s="30" t="n"/>
      <c r="F281" s="30" t="inlineStr">
        <is>
          <t>Indian</t>
        </is>
      </c>
      <c r="G281" s="30" t="n">
        <v>2</v>
      </c>
      <c r="H281" s="30" t="inlineStr">
        <is>
          <t>-</t>
        </is>
      </c>
      <c r="I281" s="30" t="n"/>
      <c r="J281" s="30" t="n"/>
      <c r="K281" s="30" t="n"/>
      <c r="L281" s="30" t="n"/>
      <c r="M281" s="30" t="n"/>
      <c r="N281" s="30" t="n"/>
      <c r="O281" s="30" t="n"/>
    </row>
    <row r="282">
      <c r="A282" s="30" t="n">
        <v>23</v>
      </c>
      <c r="B282" s="30" t="n">
        <v>277</v>
      </c>
      <c r="C282" s="30" t="inlineStr">
        <is>
          <t>Ankush / Anju</t>
        </is>
      </c>
      <c r="D282" s="30" t="inlineStr">
        <is>
          <t>28 / 24</t>
        </is>
      </c>
      <c r="E282" s="30" t="inlineStr">
        <is>
          <t>Friend</t>
        </is>
      </c>
      <c r="F282" s="30" t="inlineStr">
        <is>
          <t>Indian (ID 9241834242)</t>
        </is>
      </c>
      <c r="G282" s="30" t="n">
        <v>2</v>
      </c>
      <c r="H282" s="30" t="inlineStr">
        <is>
          <t>Barra Village</t>
        </is>
      </c>
      <c r="I282" s="30" t="inlineStr">
        <is>
          <t>8858787467</t>
        </is>
      </c>
      <c r="J282" s="30" t="inlineStr">
        <is>
          <t>Kanpur</t>
        </is>
      </c>
      <c r="K282" s="30" t="inlineStr">
        <is>
          <t>Kanpur</t>
        </is>
      </c>
      <c r="L282" s="30" t="inlineStr">
        <is>
          <t>Visit</t>
        </is>
      </c>
      <c r="M282" s="30" t="inlineStr">
        <is>
          <t>13/4/25</t>
        </is>
      </c>
      <c r="N282" s="30" t="n"/>
      <c r="O282" s="30" t="n"/>
    </row>
    <row r="283">
      <c r="A283" s="30" t="n">
        <v>24</v>
      </c>
      <c r="B283" s="30" t="n">
        <v>278</v>
      </c>
      <c r="C283" s="30" t="inlineStr">
        <is>
          <t>(Hindi, struck) Pandey</t>
        </is>
      </c>
      <c r="D283" s="30" t="n"/>
      <c r="E283" s="30" t="n"/>
      <c r="F283" s="30" t="inlineStr">
        <is>
          <t>Indian (ID 80022?4243)</t>
        </is>
      </c>
      <c r="G283" s="30" t="n"/>
      <c r="H283" s="30" t="inlineStr">
        <is>
          <t>Vishwa Bank Barra (Hindi)</t>
        </is>
      </c>
      <c r="I283" s="30" t="n"/>
      <c r="J283" s="30" t="n"/>
      <c r="K283" s="30" t="n"/>
      <c r="L283" s="30" t="n"/>
      <c r="M283" s="30" t="n"/>
      <c r="N283" s="30" t="n"/>
      <c r="O283" s="30" t="n"/>
    </row>
    <row r="284">
      <c r="A284" s="30" t="n">
        <v>24</v>
      </c>
      <c r="B284" s="30" t="n">
        <v>279</v>
      </c>
      <c r="C284" s="30" t="inlineStr">
        <is>
          <t>Aditya / Shelly</t>
        </is>
      </c>
      <c r="D284" s="30" t="inlineStr">
        <is>
          <t>30 / 24</t>
        </is>
      </c>
      <c r="E284" s="30" t="inlineStr">
        <is>
          <t>Friend</t>
        </is>
      </c>
      <c r="F284" s="30" t="inlineStr">
        <is>
          <t>Indian (ID 6179404989)</t>
        </is>
      </c>
      <c r="G284" s="30" t="n">
        <v>2</v>
      </c>
      <c r="H284" s="30" t="inlineStr">
        <is>
          <t>K-49, World Bank Barra</t>
        </is>
      </c>
      <c r="I284" s="30" t="n"/>
      <c r="J284" s="30" t="inlineStr">
        <is>
          <t>Kanpur</t>
        </is>
      </c>
      <c r="K284" s="30" t="inlineStr">
        <is>
          <t>Kanpur</t>
        </is>
      </c>
      <c r="L284" s="30" t="inlineStr">
        <is>
          <t>Visit</t>
        </is>
      </c>
      <c r="M284" s="30" t="inlineStr">
        <is>
          <t>13/4/25 2:00pm</t>
        </is>
      </c>
      <c r="N284" s="30" t="n"/>
      <c r="O284" s="30" t="n"/>
    </row>
    <row r="285">
      <c r="A285" s="30" t="n">
        <v>24</v>
      </c>
      <c r="B285" s="30" t="n">
        <v>280</v>
      </c>
      <c r="C285" s="30" t="inlineStr">
        <is>
          <t>Abhay / Anjali</t>
        </is>
      </c>
      <c r="D285" s="30" t="inlineStr">
        <is>
          <t>- / 20</t>
        </is>
      </c>
      <c r="E285" s="30" t="inlineStr">
        <is>
          <t>Friend</t>
        </is>
      </c>
      <c r="F285" s="30" t="inlineStr">
        <is>
          <t>Indian (IDs 809719208448, 501274126550)</t>
        </is>
      </c>
      <c r="G285" s="30" t="n">
        <v>2</v>
      </c>
      <c r="H285" s="30" t="inlineStr">
        <is>
          <t>999 Dwivedi Nagar / Baktauri Purwa</t>
        </is>
      </c>
      <c r="I285" s="30" t="inlineStr">
        <is>
          <t>9696972862</t>
        </is>
      </c>
      <c r="J285" s="30" t="inlineStr">
        <is>
          <t>Kanpur</t>
        </is>
      </c>
      <c r="K285" s="30" t="inlineStr">
        <is>
          <t>Kanpur</t>
        </is>
      </c>
      <c r="L285" s="30" t="inlineStr">
        <is>
          <t>Visit</t>
        </is>
      </c>
      <c r="M285" s="30" t="inlineStr">
        <is>
          <t>13/4/25 7:47pm</t>
        </is>
      </c>
      <c r="N285" s="30" t="inlineStr">
        <is>
          <t>13/4/25</t>
        </is>
      </c>
      <c r="O285" s="30" t="n"/>
    </row>
    <row r="286">
      <c r="A286" s="30" t="n">
        <v>24</v>
      </c>
      <c r="B286" s="30" t="n">
        <v>281</v>
      </c>
      <c r="C286" s="30" t="inlineStr">
        <is>
          <t>Seliya / Dani (unclear)</t>
        </is>
      </c>
      <c r="D286" s="30" t="n"/>
      <c r="E286" s="30" t="n"/>
      <c r="F286" s="30" t="n"/>
      <c r="G286" s="30" t="n"/>
      <c r="H286" s="30" t="inlineStr">
        <is>
          <t>-</t>
        </is>
      </c>
      <c r="I286" s="31" t="inlineStr">
        <is>
          <t>VERIFY 6306282165</t>
        </is>
      </c>
      <c r="J286" s="30" t="inlineStr">
        <is>
          <t>Kanpur</t>
        </is>
      </c>
      <c r="K286" s="30" t="inlineStr">
        <is>
          <t>Kanpur</t>
        </is>
      </c>
      <c r="L286" s="30" t="inlineStr">
        <is>
          <t>Visit</t>
        </is>
      </c>
      <c r="M286" s="30" t="inlineStr">
        <is>
          <t>13/4/25</t>
        </is>
      </c>
      <c r="N286" s="30" t="inlineStr">
        <is>
          <t>13/4/25 1:15pm</t>
        </is>
      </c>
      <c r="O286" s="30" t="n"/>
    </row>
    <row r="287">
      <c r="A287" s="30" t="n">
        <v>24</v>
      </c>
      <c r="B287" s="30" t="n">
        <v>282</v>
      </c>
      <c r="C287" s="30" t="inlineStr">
        <is>
          <t>(names unclear)</t>
        </is>
      </c>
      <c r="D287" s="30" t="n"/>
      <c r="E287" s="30" t="n"/>
      <c r="F287" s="30" t="n"/>
      <c r="G287" s="30" t="n"/>
      <c r="H287" s="30" t="inlineStr">
        <is>
          <t>-</t>
        </is>
      </c>
      <c r="I287" s="30" t="n"/>
      <c r="J287" s="30" t="n"/>
      <c r="K287" s="30" t="n"/>
      <c r="L287" s="30" t="n"/>
      <c r="M287" s="30" t="n"/>
      <c r="N287" s="30" t="n"/>
      <c r="O287" s="30" t="n"/>
    </row>
    <row r="288">
      <c r="A288" s="30" t="n">
        <v>24</v>
      </c>
      <c r="B288" s="30" t="n">
        <v>283</v>
      </c>
      <c r="C288" s="30" t="inlineStr">
        <is>
          <t>(names unclear - Meerut couple)</t>
        </is>
      </c>
      <c r="D288" s="30" t="inlineStr">
        <is>
          <t>38 / 32</t>
        </is>
      </c>
      <c r="E288" s="30" t="inlineStr">
        <is>
          <t>Family</t>
        </is>
      </c>
      <c r="F288" s="30" t="inlineStr">
        <is>
          <t>Indian (IDs 4151145.., 50888724601)</t>
        </is>
      </c>
      <c r="G288" s="30" t="n">
        <v>2</v>
      </c>
      <c r="H288" s="30" t="inlineStr">
        <is>
          <t>Putha, Meerut / Fazalpur Meerut</t>
        </is>
      </c>
      <c r="I288" s="30" t="inlineStr">
        <is>
          <t>8004037910</t>
        </is>
      </c>
      <c r="J288" s="30" t="inlineStr">
        <is>
          <t>Meerut</t>
        </is>
      </c>
      <c r="K288" s="30" t="inlineStr">
        <is>
          <t>Lucknow</t>
        </is>
      </c>
      <c r="L288" s="30" t="inlineStr">
        <is>
          <t>Visit</t>
        </is>
      </c>
      <c r="M288" s="30" t="inlineStr">
        <is>
          <t>14/4/25 5:00pm</t>
        </is>
      </c>
      <c r="N288" s="30" t="n"/>
      <c r="O288" s="30" t="inlineStr">
        <is>
          <t>204</t>
        </is>
      </c>
    </row>
    <row r="289">
      <c r="A289" s="30" t="n">
        <v>24</v>
      </c>
      <c r="B289" s="30" t="n">
        <v>284</v>
      </c>
      <c r="C289" s="30" t="inlineStr">
        <is>
          <t>Aditya / Priyanka</t>
        </is>
      </c>
      <c r="D289" s="30" t="n"/>
      <c r="E289" s="30" t="n"/>
      <c r="F289" s="30" t="inlineStr">
        <is>
          <t>Indian</t>
        </is>
      </c>
      <c r="G289" s="30" t="n">
        <v>2</v>
      </c>
      <c r="H289" s="30" t="inlineStr">
        <is>
          <t>-</t>
        </is>
      </c>
      <c r="I289" s="30" t="n"/>
      <c r="J289" s="30" t="n"/>
      <c r="K289" s="30" t="n"/>
      <c r="L289" s="30" t="n"/>
      <c r="M289" s="30" t="n"/>
      <c r="N289" s="30" t="n"/>
      <c r="O289" s="30" t="n"/>
    </row>
    <row r="290">
      <c r="A290" s="30" t="n">
        <v>24</v>
      </c>
      <c r="B290" s="30" t="n">
        <v>285</v>
      </c>
      <c r="C290" s="30" t="inlineStr">
        <is>
          <t>Abhay / Anjali</t>
        </is>
      </c>
      <c r="D290" s="30" t="inlineStr">
        <is>
          <t>20 / 20</t>
        </is>
      </c>
      <c r="E290" s="30" t="inlineStr">
        <is>
          <t>Friend</t>
        </is>
      </c>
      <c r="F290" s="30" t="inlineStr">
        <is>
          <t>Indian (IDs 809479202449, 501274126550)</t>
        </is>
      </c>
      <c r="G290" s="30" t="n">
        <v>2</v>
      </c>
      <c r="H290" s="30" t="inlineStr">
        <is>
          <t>999 Dwivedi Nagar / Baktari Purwa</t>
        </is>
      </c>
      <c r="I290" s="30" t="inlineStr">
        <is>
          <t>9696972862</t>
        </is>
      </c>
      <c r="J290" s="30" t="inlineStr">
        <is>
          <t>Kanpur</t>
        </is>
      </c>
      <c r="K290" s="30" t="inlineStr">
        <is>
          <t>Kanpur</t>
        </is>
      </c>
      <c r="L290" s="30" t="inlineStr">
        <is>
          <t>Visit</t>
        </is>
      </c>
      <c r="M290" s="30" t="inlineStr">
        <is>
          <t>15/4/25 3:50pm</t>
        </is>
      </c>
      <c r="N290" s="30" t="inlineStr">
        <is>
          <t>15/4/25</t>
        </is>
      </c>
      <c r="O290" s="30" t="n"/>
    </row>
    <row r="291">
      <c r="A291" s="30" t="n">
        <v>24</v>
      </c>
      <c r="B291" s="30" t="n">
        <v>286</v>
      </c>
      <c r="C291" s="30" t="inlineStr">
        <is>
          <t>Shailendra / Abhilasha</t>
        </is>
      </c>
      <c r="D291" s="30" t="n"/>
      <c r="E291" s="30" t="inlineStr">
        <is>
          <t>Friend</t>
        </is>
      </c>
      <c r="F291" s="30" t="inlineStr">
        <is>
          <t>Indian (IDs 692621043032, 7905800319)</t>
        </is>
      </c>
      <c r="G291" s="30" t="n">
        <v>2</v>
      </c>
      <c r="H291" s="30" t="inlineStr">
        <is>
          <t>Naubasta / Ranadevi</t>
        </is>
      </c>
      <c r="I291" s="30" t="inlineStr">
        <is>
          <t>7905800319</t>
        </is>
      </c>
      <c r="J291" s="30" t="inlineStr">
        <is>
          <t>Kanpur</t>
        </is>
      </c>
      <c r="K291" s="30" t="inlineStr">
        <is>
          <t>Kanpur</t>
        </is>
      </c>
      <c r="L291" s="30" t="inlineStr">
        <is>
          <t>Visit</t>
        </is>
      </c>
      <c r="M291" s="30" t="inlineStr">
        <is>
          <t>15/4/25 7:00pm</t>
        </is>
      </c>
      <c r="N291" s="30" t="inlineStr">
        <is>
          <t>15/4/25</t>
        </is>
      </c>
      <c r="O291" s="30" t="n"/>
    </row>
    <row r="292">
      <c r="A292" s="30" t="n">
        <v>24</v>
      </c>
      <c r="B292" s="30" t="n">
        <v>287</v>
      </c>
      <c r="C292" s="30" t="inlineStr">
        <is>
          <t>Aman Verma / Shivangi</t>
        </is>
      </c>
      <c r="D292" s="30" t="n"/>
      <c r="E292" s="30" t="n"/>
      <c r="F292" s="30" t="inlineStr">
        <is>
          <t>Indian (ID 277644722292)</t>
        </is>
      </c>
      <c r="G292" s="30" t="n">
        <v>2</v>
      </c>
      <c r="H292" s="30" t="inlineStr">
        <is>
          <t>Hemant Vihar</t>
        </is>
      </c>
      <c r="I292" s="30" t="n"/>
      <c r="J292" s="30" t="inlineStr">
        <is>
          <t>Kanpur</t>
        </is>
      </c>
      <c r="K292" s="30" t="inlineStr">
        <is>
          <t>Kanpur</t>
        </is>
      </c>
      <c r="L292" s="30" t="inlineStr">
        <is>
          <t>Visit</t>
        </is>
      </c>
      <c r="M292" s="30" t="inlineStr">
        <is>
          <t>16/4/25 8:50</t>
        </is>
      </c>
      <c r="N292" s="30" t="inlineStr">
        <is>
          <t>16/4/25</t>
        </is>
      </c>
      <c r="O292" s="30" t="n"/>
    </row>
    <row r="293">
      <c r="A293" s="30" t="n">
        <v>24</v>
      </c>
      <c r="B293" s="30" t="n">
        <v>288</v>
      </c>
      <c r="C293" s="30" t="inlineStr">
        <is>
          <t>Amit / Aditi (unclear)</t>
        </is>
      </c>
      <c r="D293" s="30" t="n"/>
      <c r="E293" s="30" t="n"/>
      <c r="F293" s="30" t="n"/>
      <c r="G293" s="30" t="n"/>
      <c r="H293" s="30" t="inlineStr">
        <is>
          <t>-</t>
        </is>
      </c>
      <c r="I293" s="30" t="n"/>
      <c r="J293" s="30" t="n"/>
      <c r="K293" s="30" t="n"/>
      <c r="L293" s="30" t="n"/>
      <c r="M293" s="30" t="n"/>
      <c r="N293" s="30" t="n"/>
      <c r="O293" s="30" t="n"/>
    </row>
    <row r="294">
      <c r="A294" s="30" t="n">
        <v>24</v>
      </c>
      <c r="B294" s="30" t="n">
        <v>289</v>
      </c>
      <c r="C294" s="30" t="inlineStr">
        <is>
          <t>Pawan / Susma (Hindi)</t>
        </is>
      </c>
      <c r="D294" s="30" t="inlineStr">
        <is>
          <t>24 / 20</t>
        </is>
      </c>
      <c r="E294" s="30" t="inlineStr">
        <is>
          <t>Friend</t>
        </is>
      </c>
      <c r="F294" s="30" t="inlineStr">
        <is>
          <t>Indian (IDs 803640962463, 839702701620)</t>
        </is>
      </c>
      <c r="G294" s="30" t="n">
        <v>2</v>
      </c>
      <c r="H294" s="30" t="inlineStr">
        <is>
          <t>Barra-2</t>
        </is>
      </c>
      <c r="I294" s="30" t="inlineStr">
        <is>
          <t>7388745618</t>
        </is>
      </c>
      <c r="J294" s="30" t="inlineStr">
        <is>
          <t>Kanpur</t>
        </is>
      </c>
      <c r="K294" s="30" t="inlineStr">
        <is>
          <t>Kanpur</t>
        </is>
      </c>
      <c r="L294" s="30" t="inlineStr">
        <is>
          <t>Visit</t>
        </is>
      </c>
      <c r="M294" s="30" t="inlineStr">
        <is>
          <t>16/4/25 2:48pm</t>
        </is>
      </c>
      <c r="N294" s="30" t="inlineStr">
        <is>
          <t>16/4/25</t>
        </is>
      </c>
      <c r="O294" s="30" t="n"/>
    </row>
    <row r="295">
      <c r="A295" s="30" t="n">
        <v>25</v>
      </c>
      <c r="B295" s="30" t="n">
        <v>290</v>
      </c>
      <c r="C295" s="30" t="inlineStr">
        <is>
          <t>Abhay / Anjali</t>
        </is>
      </c>
      <c r="D295" s="30" t="inlineStr">
        <is>
          <t>20 / 20</t>
        </is>
      </c>
      <c r="E295" s="30" t="inlineStr">
        <is>
          <t>Friend</t>
        </is>
      </c>
      <c r="F295" s="30" t="inlineStr">
        <is>
          <t>Indian (IDs 869719202443, 501274126550)</t>
        </is>
      </c>
      <c r="G295" s="30" t="n">
        <v>2</v>
      </c>
      <c r="H295" s="30" t="inlineStr">
        <is>
          <t>900 Dwivedi Nagar / 489 Baktauri Purwa</t>
        </is>
      </c>
      <c r="I295" s="30" t="inlineStr">
        <is>
          <t>9696972862</t>
        </is>
      </c>
      <c r="J295" s="30" t="inlineStr">
        <is>
          <t>Kanpur</t>
        </is>
      </c>
      <c r="K295" s="30" t="inlineStr">
        <is>
          <t>Kanpur</t>
        </is>
      </c>
      <c r="L295" s="30" t="inlineStr">
        <is>
          <t>Visit</t>
        </is>
      </c>
      <c r="M295" s="30" t="inlineStr">
        <is>
          <t>19/4/25 9:36</t>
        </is>
      </c>
      <c r="N295" s="30" t="inlineStr">
        <is>
          <t>19/4/25</t>
        </is>
      </c>
      <c r="O295" s="30" t="inlineStr">
        <is>
          <t>203</t>
        </is>
      </c>
    </row>
    <row r="296">
      <c r="A296" s="30" t="n">
        <v>25</v>
      </c>
      <c r="B296" s="30" t="n">
        <v>291</v>
      </c>
      <c r="C296" s="30" t="inlineStr">
        <is>
          <t>(Hindi) Gautam / Deeksha</t>
        </is>
      </c>
      <c r="D296" s="30" t="inlineStr">
        <is>
          <t>24 / 18</t>
        </is>
      </c>
      <c r="E296" s="30" t="inlineStr">
        <is>
          <t>Family</t>
        </is>
      </c>
      <c r="F296" s="30" t="inlineStr">
        <is>
          <t>Indian (IDs 934351704702, 696859893650)</t>
        </is>
      </c>
      <c r="G296" s="30" t="n">
        <v>2</v>
      </c>
      <c r="H296" s="30" t="inlineStr">
        <is>
          <t>Tamaspur Kanpur U.P (Hindi)</t>
        </is>
      </c>
      <c r="I296" s="31" t="inlineStr">
        <is>
          <t>VERIFY 8112634630</t>
        </is>
      </c>
      <c r="J296" s="30" t="inlineStr">
        <is>
          <t>Kanpur</t>
        </is>
      </c>
      <c r="K296" s="30" t="inlineStr">
        <is>
          <t>Kanpur</t>
        </is>
      </c>
      <c r="L296" s="30" t="inlineStr">
        <is>
          <t>Visit</t>
        </is>
      </c>
      <c r="M296" s="30" t="inlineStr">
        <is>
          <t>19/4/25</t>
        </is>
      </c>
      <c r="N296" s="30" t="inlineStr">
        <is>
          <t>19/4/25</t>
        </is>
      </c>
      <c r="O296" s="30" t="n"/>
    </row>
    <row r="297">
      <c r="A297" s="30" t="n">
        <v>25</v>
      </c>
      <c r="B297" s="30" t="n">
        <v>292</v>
      </c>
      <c r="C297" s="30" t="inlineStr">
        <is>
          <t>Aditya / Sweety</t>
        </is>
      </c>
      <c r="D297" s="30" t="inlineStr">
        <is>
          <t>21 / 18</t>
        </is>
      </c>
      <c r="E297" s="30" t="inlineStr">
        <is>
          <t>Friend</t>
        </is>
      </c>
      <c r="F297" s="30" t="inlineStr">
        <is>
          <t>Indian (ID 870173428832)</t>
        </is>
      </c>
      <c r="G297" s="30" t="n">
        <v>2</v>
      </c>
      <c r="H297" s="30" t="inlineStr">
        <is>
          <t>Awas Vikas / Awas Vikas</t>
        </is>
      </c>
      <c r="I297" s="30" t="inlineStr">
        <is>
          <t>8115705855</t>
        </is>
      </c>
      <c r="J297" s="30" t="inlineStr">
        <is>
          <t>Kanpur</t>
        </is>
      </c>
      <c r="K297" s="30" t="inlineStr">
        <is>
          <t>Kanpur</t>
        </is>
      </c>
      <c r="L297" s="30" t="inlineStr">
        <is>
          <t>Visit</t>
        </is>
      </c>
      <c r="M297" s="30" t="inlineStr">
        <is>
          <t>19/4/25</t>
        </is>
      </c>
      <c r="N297" s="30" t="inlineStr">
        <is>
          <t>19/4/25</t>
        </is>
      </c>
      <c r="O297" s="30" t="inlineStr">
        <is>
          <t>205</t>
        </is>
      </c>
    </row>
    <row r="298">
      <c r="A298" s="30" t="n">
        <v>25</v>
      </c>
      <c r="B298" s="30" t="n">
        <v>293</v>
      </c>
      <c r="C298" s="30" t="inlineStr">
        <is>
          <t>Avinash / Saloni</t>
        </is>
      </c>
      <c r="D298" s="30" t="inlineStr">
        <is>
          <t>25 / 22</t>
        </is>
      </c>
      <c r="E298" s="30" t="inlineStr">
        <is>
          <t>Family</t>
        </is>
      </c>
      <c r="F298" s="30" t="inlineStr">
        <is>
          <t>Indian (IDs 988063460899, 5920948034)</t>
        </is>
      </c>
      <c r="G298" s="30" t="n">
        <v>2</v>
      </c>
      <c r="H298" s="30" t="inlineStr">
        <is>
          <t>Pipauri (Hindi)</t>
        </is>
      </c>
      <c r="I298" s="31" t="inlineStr">
        <is>
          <t>VERIFY 7521922052</t>
        </is>
      </c>
      <c r="J298" s="30" t="inlineStr">
        <is>
          <t>Kanpur</t>
        </is>
      </c>
      <c r="K298" s="30" t="inlineStr">
        <is>
          <t>Kanpur</t>
        </is>
      </c>
      <c r="L298" s="30" t="inlineStr">
        <is>
          <t>Visit</t>
        </is>
      </c>
      <c r="M298" s="30" t="inlineStr">
        <is>
          <t>22/4/25 10:15pm</t>
        </is>
      </c>
      <c r="N298" s="30" t="n"/>
      <c r="O298" s="30" t="inlineStr">
        <is>
          <t>206</t>
        </is>
      </c>
    </row>
    <row r="299">
      <c r="A299" s="30" t="n">
        <v>25</v>
      </c>
      <c r="B299" s="30" t="n">
        <v>294</v>
      </c>
      <c r="C299" s="30" t="inlineStr">
        <is>
          <t>(Hindi) Devdhan / Meenu</t>
        </is>
      </c>
      <c r="D299" s="30" t="inlineStr">
        <is>
          <t>25 / 23</t>
        </is>
      </c>
      <c r="E299" s="30" t="inlineStr">
        <is>
          <t>Family</t>
        </is>
      </c>
      <c r="F299" s="30" t="inlineStr">
        <is>
          <t>Indian (ID 9789406..)</t>
        </is>
      </c>
      <c r="G299" s="30" t="n">
        <v>2</v>
      </c>
      <c r="H299" s="30" t="inlineStr">
        <is>
          <t>Bade Gaon (Hindi)</t>
        </is>
      </c>
      <c r="I299" s="30" t="inlineStr">
        <is>
          <t>8115952055</t>
        </is>
      </c>
      <c r="J299" s="30" t="inlineStr">
        <is>
          <t>Kanpur</t>
        </is>
      </c>
      <c r="K299" s="30" t="inlineStr">
        <is>
          <t>Kanpur</t>
        </is>
      </c>
      <c r="L299" s="30" t="inlineStr">
        <is>
          <t>Visit</t>
        </is>
      </c>
      <c r="M299" s="30" t="inlineStr">
        <is>
          <t>22/4/25 10:00pm</t>
        </is>
      </c>
      <c r="N299" s="30" t="n"/>
      <c r="O299" s="30" t="n"/>
    </row>
    <row r="300">
      <c r="A300" s="30" t="n">
        <v>25</v>
      </c>
      <c r="B300" s="30" t="n">
        <v>295</v>
      </c>
      <c r="C300" s="30" t="inlineStr">
        <is>
          <t>Aditya / Anshika</t>
        </is>
      </c>
      <c r="D300" s="30" t="inlineStr">
        <is>
          <t>21 / 19</t>
        </is>
      </c>
      <c r="E300" s="30" t="inlineStr">
        <is>
          <t>Friend</t>
        </is>
      </c>
      <c r="F300" s="30" t="inlineStr">
        <is>
          <t>Indian (IDs 870173978832, 3661812544)</t>
        </is>
      </c>
      <c r="G300" s="30" t="n">
        <v>2</v>
      </c>
      <c r="H300" s="30" t="inlineStr">
        <is>
          <t>Awas Vikas / Awas Vikas</t>
        </is>
      </c>
      <c r="I300" s="30" t="n"/>
      <c r="J300" s="30" t="inlineStr">
        <is>
          <t>Kanpur</t>
        </is>
      </c>
      <c r="K300" s="30" t="inlineStr">
        <is>
          <t>Kanpur</t>
        </is>
      </c>
      <c r="L300" s="30" t="inlineStr">
        <is>
          <t>Visit</t>
        </is>
      </c>
      <c r="M300" s="31" t="inlineStr">
        <is>
          <t>VERIFY (right page not captured)</t>
        </is>
      </c>
      <c r="N300" s="30" t="n"/>
      <c r="O300" s="30" t="n"/>
    </row>
    <row r="301">
      <c r="A301" s="30" t="n">
        <v>25</v>
      </c>
      <c r="B301" s="30" t="n">
        <v>296</v>
      </c>
      <c r="C301" s="30" t="inlineStr">
        <is>
          <t>Anuj / Pallavi (Hindi)</t>
        </is>
      </c>
      <c r="D301" s="30" t="inlineStr">
        <is>
          <t>21 / 20</t>
        </is>
      </c>
      <c r="E301" s="30" t="inlineStr">
        <is>
          <t>Friend</t>
        </is>
      </c>
      <c r="F301" s="30" t="inlineStr">
        <is>
          <t>Indian (IDs 280204679824, 681547816485)</t>
        </is>
      </c>
      <c r="G301" s="30" t="n">
        <v>2</v>
      </c>
      <c r="H301" s="30" t="inlineStr">
        <is>
          <t>Panhari (Hindi)</t>
        </is>
      </c>
      <c r="I301" s="30" t="n"/>
      <c r="J301" s="30" t="inlineStr">
        <is>
          <t>Kanpur</t>
        </is>
      </c>
      <c r="K301" s="30" t="inlineStr">
        <is>
          <t>Kanpur</t>
        </is>
      </c>
      <c r="L301" s="30" t="inlineStr">
        <is>
          <t>Visit</t>
        </is>
      </c>
      <c r="M301" s="31" t="inlineStr">
        <is>
          <t>VERIFY (right page not captured)</t>
        </is>
      </c>
      <c r="N301" s="30" t="n"/>
      <c r="O301" s="30" t="n"/>
    </row>
    <row r="302">
      <c r="A302" s="30" t="n">
        <v>25</v>
      </c>
      <c r="B302" s="30" t="n">
        <v>297</v>
      </c>
      <c r="C302" s="30" t="inlineStr">
        <is>
          <t>Abhay / Anjali</t>
        </is>
      </c>
      <c r="D302" s="30" t="inlineStr">
        <is>
          <t>20 / 20</t>
        </is>
      </c>
      <c r="E302" s="30" t="inlineStr">
        <is>
          <t>Friend</t>
        </is>
      </c>
      <c r="F302" s="30" t="inlineStr">
        <is>
          <t>Indian (IDs 309719208445, 501274126550)</t>
        </is>
      </c>
      <c r="G302" s="30" t="n">
        <v>2</v>
      </c>
      <c r="H302" s="30" t="inlineStr">
        <is>
          <t>Baktauri Purwa (Hindi)</t>
        </is>
      </c>
      <c r="I302" s="30" t="inlineStr">
        <is>
          <t>9696972862</t>
        </is>
      </c>
      <c r="J302" s="30" t="inlineStr">
        <is>
          <t>Kanpur</t>
        </is>
      </c>
      <c r="K302" s="30" t="inlineStr">
        <is>
          <t>Kanpur</t>
        </is>
      </c>
      <c r="L302" s="30" t="inlineStr">
        <is>
          <t>Visit</t>
        </is>
      </c>
      <c r="M302" s="31" t="inlineStr">
        <is>
          <t>VERIFY (right page not captured)</t>
        </is>
      </c>
      <c r="N302" s="30" t="n"/>
      <c r="O302" s="30" t="n"/>
    </row>
    <row r="303">
      <c r="A303" s="30" t="n">
        <v>25</v>
      </c>
      <c r="B303" s="30" t="n">
        <v>298</v>
      </c>
      <c r="C303" s="30" t="inlineStr">
        <is>
          <t>(blank row in register)</t>
        </is>
      </c>
      <c r="D303" s="30" t="n"/>
      <c r="E303" s="30" t="n"/>
      <c r="F303" s="30" t="n"/>
      <c r="G303" s="30" t="n"/>
      <c r="H303" s="30" t="n"/>
      <c r="I303" s="30" t="n"/>
      <c r="J303" s="30" t="n"/>
      <c r="K303" s="30" t="n"/>
      <c r="L303" s="30" t="n"/>
      <c r="M303" s="30" t="n"/>
      <c r="N303" s="30" t="n"/>
      <c r="O303" s="30" t="n"/>
    </row>
    <row r="304">
      <c r="A304" s="30" t="n">
        <v>25</v>
      </c>
      <c r="B304" s="30" t="n">
        <v>299</v>
      </c>
      <c r="C304" s="30" t="inlineStr">
        <is>
          <t>Santosh Diwakar / Jyoti</t>
        </is>
      </c>
      <c r="D304" s="30" t="inlineStr">
        <is>
          <t>24 / 24</t>
        </is>
      </c>
      <c r="E304" s="30" t="inlineStr">
        <is>
          <t>Friend</t>
        </is>
      </c>
      <c r="F304" s="30" t="inlineStr">
        <is>
          <t>Indian (IDs 492301316113, 476830470187)</t>
        </is>
      </c>
      <c r="G304" s="30" t="n">
        <v>2</v>
      </c>
      <c r="H304" s="30" t="inlineStr">
        <is>
          <t>Juhi Colony Kanpur</t>
        </is>
      </c>
      <c r="I304" s="30" t="inlineStr">
        <is>
          <t>8858377320</t>
        </is>
      </c>
      <c r="J304" s="30" t="inlineStr">
        <is>
          <t>Kanpur</t>
        </is>
      </c>
      <c r="K304" s="30" t="inlineStr">
        <is>
          <t>Kanpur</t>
        </is>
      </c>
      <c r="L304" s="30" t="inlineStr">
        <is>
          <t>Visit</t>
        </is>
      </c>
      <c r="M304" s="31" t="inlineStr">
        <is>
          <t>VERIFY (right page not captured)</t>
        </is>
      </c>
      <c r="N304" s="30" t="n"/>
      <c r="O304" s="30" t="n"/>
    </row>
    <row r="305">
      <c r="A305" s="30" t="n">
        <v>25</v>
      </c>
      <c r="B305" s="30" t="n">
        <v>300</v>
      </c>
      <c r="C305" s="30" t="inlineStr">
        <is>
          <t>Raksha / Bhanu Tiwari</t>
        </is>
      </c>
      <c r="D305" s="30" t="inlineStr">
        <is>
          <t>19 / 20</t>
        </is>
      </c>
      <c r="E305" s="30" t="inlineStr">
        <is>
          <t>Friend</t>
        </is>
      </c>
      <c r="F305" s="30" t="inlineStr">
        <is>
          <t>Indian (IDs 813393435573, 930911844495)</t>
        </is>
      </c>
      <c r="G305" s="30" t="n">
        <v>2</v>
      </c>
      <c r="H305" s="30" t="inlineStr">
        <is>
          <t>Naubasta Kanpur (Hindi)</t>
        </is>
      </c>
      <c r="I305" s="30" t="n"/>
      <c r="J305" s="30" t="inlineStr">
        <is>
          <t>Kanpur</t>
        </is>
      </c>
      <c r="K305" s="30" t="inlineStr">
        <is>
          <t>Kanpur</t>
        </is>
      </c>
      <c r="L305" s="30" t="inlineStr">
        <is>
          <t>Visit</t>
        </is>
      </c>
      <c r="M305" s="31" t="inlineStr">
        <is>
          <t>VERIFY (right page not captured)</t>
        </is>
      </c>
      <c r="N305" s="30" t="n"/>
      <c r="O305" s="30" t="n"/>
    </row>
    <row r="306">
      <c r="A306" s="30" t="n">
        <v>25</v>
      </c>
      <c r="B306" s="30" t="n">
        <v>301</v>
      </c>
      <c r="C306" s="30" t="inlineStr">
        <is>
          <t>Shiv Babu / Ruchi</t>
        </is>
      </c>
      <c r="D306" s="30" t="inlineStr">
        <is>
          <t>29 / 30</t>
        </is>
      </c>
      <c r="E306" s="30" t="inlineStr">
        <is>
          <t>Friend</t>
        </is>
      </c>
      <c r="F306" s="30" t="inlineStr">
        <is>
          <t>Indian (ID 860459010283)</t>
        </is>
      </c>
      <c r="G306" s="30" t="n">
        <v>2</v>
      </c>
      <c r="H306" s="30" t="inlineStr">
        <is>
          <t>Bhairampur (Hindi)</t>
        </is>
      </c>
      <c r="I306" s="30" t="n"/>
      <c r="J306" s="30" t="inlineStr">
        <is>
          <t>Kanpur</t>
        </is>
      </c>
      <c r="K306" s="30" t="inlineStr">
        <is>
          <t>Kanpur</t>
        </is>
      </c>
      <c r="L306" s="30" t="inlineStr">
        <is>
          <t>Visit</t>
        </is>
      </c>
      <c r="M306" s="31" t="inlineStr">
        <is>
          <t>VERIFY (right page not captured)</t>
        </is>
      </c>
      <c r="N306" s="30" t="n"/>
      <c r="O306" s="30" t="n"/>
    </row>
  </sheetData>
  <mergeCells count="1">
    <mergeCell ref="A2:O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0" min="1" max="1"/>
    <col width="12" customWidth="1" style="20" min="2" max="2"/>
  </cols>
  <sheetData>
    <row r="1" ht="16.15" customHeight="1" s="21">
      <c r="A1" s="25" t="inlineStr">
        <is>
          <t>R.R. Garden — Room Rate Ledger (raw bookings, from June–July 2026 diary pages)</t>
        </is>
      </c>
    </row>
    <row r="2" ht="15" customHeight="1" s="21">
      <c r="A2" s="26" t="inlineStr">
        <is>
          <t>Each row = one room booking on that date. Source: handwritten diary, last 2 pages of scan.</t>
        </is>
      </c>
    </row>
    <row r="4" ht="15" customHeight="1" s="21">
      <c r="A4" s="27" t="inlineStr">
        <is>
          <t>Date</t>
        </is>
      </c>
      <c r="B4" s="27" t="inlineStr">
        <is>
          <t>Amount</t>
        </is>
      </c>
    </row>
    <row r="5" ht="15" customHeight="1" s="21">
      <c r="A5" s="32" t="inlineStr">
        <is>
          <t>2026-05-31</t>
        </is>
      </c>
      <c r="B5" s="33" t="n">
        <v>800</v>
      </c>
    </row>
    <row r="6" ht="15" customHeight="1" s="21">
      <c r="A6" s="32" t="inlineStr">
        <is>
          <t>2026-06-01</t>
        </is>
      </c>
      <c r="B6" s="33" t="n">
        <v>800</v>
      </c>
    </row>
    <row r="7" ht="15" customHeight="1" s="21">
      <c r="A7" s="32" t="inlineStr">
        <is>
          <t>2026-06-03</t>
        </is>
      </c>
      <c r="B7" s="33" t="n">
        <v>600</v>
      </c>
    </row>
    <row r="8" ht="15" customHeight="1" s="21">
      <c r="A8" s="32" t="inlineStr">
        <is>
          <t>2026-06-04</t>
        </is>
      </c>
      <c r="B8" s="33" t="n">
        <v>600</v>
      </c>
    </row>
    <row r="9" ht="15" customHeight="1" s="21">
      <c r="A9" s="32" t="inlineStr">
        <is>
          <t>2026-06-05</t>
        </is>
      </c>
      <c r="B9" s="33" t="n">
        <v>500</v>
      </c>
    </row>
    <row r="10" ht="15" customHeight="1" s="21">
      <c r="A10" s="32" t="inlineStr">
        <is>
          <t>2026-06-05</t>
        </is>
      </c>
      <c r="B10" s="33" t="n">
        <v>500</v>
      </c>
    </row>
    <row r="11" ht="15" customHeight="1" s="21">
      <c r="A11" s="32" t="inlineStr">
        <is>
          <t>2026-06-07</t>
        </is>
      </c>
      <c r="B11" s="33" t="n">
        <v>650</v>
      </c>
    </row>
    <row r="12" ht="15" customHeight="1" s="21">
      <c r="A12" s="32" t="inlineStr">
        <is>
          <t>2026-06-07</t>
        </is>
      </c>
      <c r="B12" s="33" t="n">
        <v>630</v>
      </c>
    </row>
    <row r="13" ht="15" customHeight="1" s="21">
      <c r="A13" s="32" t="inlineStr">
        <is>
          <t>2026-06-07</t>
        </is>
      </c>
      <c r="B13" s="33" t="n">
        <v>600</v>
      </c>
    </row>
    <row r="14" ht="15" customHeight="1" s="21">
      <c r="A14" s="32" t="inlineStr">
        <is>
          <t>2026-06-07</t>
        </is>
      </c>
      <c r="B14" s="33" t="n">
        <v>600</v>
      </c>
    </row>
    <row r="15" ht="15" customHeight="1" s="21">
      <c r="A15" s="32" t="inlineStr">
        <is>
          <t>2026-06-10</t>
        </is>
      </c>
      <c r="B15" s="33" t="n">
        <v>600</v>
      </c>
    </row>
    <row r="16" ht="15" customHeight="1" s="21">
      <c r="A16" s="32" t="inlineStr">
        <is>
          <t>2026-06-13</t>
        </is>
      </c>
      <c r="B16" s="33" t="n">
        <v>530</v>
      </c>
    </row>
    <row r="17" ht="15" customHeight="1" s="21">
      <c r="A17" s="32" t="inlineStr">
        <is>
          <t>2026-06-13</t>
        </is>
      </c>
      <c r="B17" s="33" t="n">
        <v>520</v>
      </c>
    </row>
    <row r="18" ht="15" customHeight="1" s="21">
      <c r="A18" s="32" t="inlineStr">
        <is>
          <t>2026-06-13</t>
        </is>
      </c>
      <c r="B18" s="33" t="n">
        <v>600</v>
      </c>
    </row>
    <row r="19" ht="15" customHeight="1" s="21">
      <c r="A19" s="32" t="inlineStr">
        <is>
          <t>2026-06-13</t>
        </is>
      </c>
      <c r="B19" s="33" t="n">
        <v>600</v>
      </c>
    </row>
    <row r="20" ht="15" customHeight="1" s="21">
      <c r="A20" s="32" t="inlineStr">
        <is>
          <t>2026-06-14</t>
        </is>
      </c>
      <c r="B20" s="33" t="n">
        <v>700</v>
      </c>
    </row>
    <row r="21" ht="15" customHeight="1" s="21">
      <c r="A21" s="32" t="inlineStr">
        <is>
          <t>2026-06-14</t>
        </is>
      </c>
      <c r="B21" s="33" t="n">
        <v>600</v>
      </c>
    </row>
    <row r="22" ht="15" customHeight="1" s="21">
      <c r="A22" s="32" t="inlineStr">
        <is>
          <t>2026-06-14</t>
        </is>
      </c>
      <c r="B22" s="33" t="n">
        <v>500</v>
      </c>
    </row>
    <row r="23" ht="15" customHeight="1" s="21">
      <c r="A23" s="32" t="inlineStr">
        <is>
          <t>2026-06-15</t>
        </is>
      </c>
      <c r="B23" s="33" t="n">
        <v>600</v>
      </c>
    </row>
    <row r="24" ht="15" customHeight="1" s="21">
      <c r="A24" s="32" t="inlineStr">
        <is>
          <t>2026-06-15</t>
        </is>
      </c>
      <c r="B24" s="33" t="n">
        <v>600</v>
      </c>
    </row>
    <row r="25" ht="15" customHeight="1" s="21">
      <c r="A25" s="32" t="inlineStr">
        <is>
          <t>2026-06-15</t>
        </is>
      </c>
      <c r="B25" s="33" t="n">
        <v>700</v>
      </c>
    </row>
    <row r="26" ht="15" customHeight="1" s="21">
      <c r="A26" s="32" t="inlineStr">
        <is>
          <t>2026-06-18</t>
        </is>
      </c>
      <c r="B26" s="33" t="n">
        <v>500</v>
      </c>
    </row>
    <row r="27" ht="15" customHeight="1" s="21">
      <c r="A27" s="32" t="inlineStr">
        <is>
          <t>2026-06-18</t>
        </is>
      </c>
      <c r="B27" s="33" t="n">
        <v>500</v>
      </c>
    </row>
    <row r="28" ht="15" customHeight="1" s="21">
      <c r="A28" s="32" t="inlineStr">
        <is>
          <t>2026-06-19</t>
        </is>
      </c>
      <c r="B28" s="33" t="n">
        <v>500</v>
      </c>
    </row>
    <row r="29" ht="15" customHeight="1" s="21">
      <c r="A29" s="32" t="inlineStr">
        <is>
          <t>2026-06-20</t>
        </is>
      </c>
      <c r="B29" s="33" t="n">
        <v>500</v>
      </c>
    </row>
    <row r="30" ht="15" customHeight="1" s="21">
      <c r="A30" s="32" t="inlineStr">
        <is>
          <t>2026-06-21</t>
        </is>
      </c>
      <c r="B30" s="33" t="n">
        <v>700</v>
      </c>
    </row>
    <row r="31" ht="15" customHeight="1" s="21">
      <c r="A31" s="32" t="inlineStr">
        <is>
          <t>2026-06-21</t>
        </is>
      </c>
      <c r="B31" s="33" t="n">
        <v>300</v>
      </c>
    </row>
    <row r="32" ht="15" customHeight="1" s="21">
      <c r="A32" s="32" t="inlineStr">
        <is>
          <t>2026-06-22</t>
        </is>
      </c>
      <c r="B32" s="33" t="n">
        <v>600</v>
      </c>
    </row>
    <row r="33" ht="15" customHeight="1" s="21">
      <c r="A33" s="32" t="inlineStr">
        <is>
          <t>2026-06-22</t>
        </is>
      </c>
      <c r="B33" s="33" t="n">
        <v>600</v>
      </c>
    </row>
    <row r="34" ht="15" customHeight="1" s="21">
      <c r="A34" s="32" t="inlineStr">
        <is>
          <t>2026-06-22</t>
        </is>
      </c>
      <c r="B34" s="33" t="n">
        <v>500</v>
      </c>
    </row>
    <row r="35" ht="15" customHeight="1" s="21">
      <c r="A35" s="32" t="inlineStr">
        <is>
          <t>2026-06-23</t>
        </is>
      </c>
      <c r="B35" s="33" t="n">
        <v>600</v>
      </c>
    </row>
    <row r="36" ht="15" customHeight="1" s="21">
      <c r="A36" s="32" t="inlineStr">
        <is>
          <t>2026-06-24</t>
        </is>
      </c>
      <c r="B36" s="33" t="n">
        <v>600</v>
      </c>
    </row>
    <row r="37" ht="15" customHeight="1" s="21">
      <c r="A37" s="32" t="inlineStr">
        <is>
          <t>2026-06-26</t>
        </is>
      </c>
      <c r="B37" s="33" t="n">
        <v>500</v>
      </c>
    </row>
    <row r="38" ht="15" customHeight="1" s="21">
      <c r="A38" s="32" t="inlineStr">
        <is>
          <t>2026-06-26</t>
        </is>
      </c>
      <c r="B38" s="33" t="n">
        <v>730</v>
      </c>
    </row>
    <row r="39" ht="15" customHeight="1" s="21">
      <c r="A39" s="32" t="inlineStr">
        <is>
          <t>2026-06-27</t>
        </is>
      </c>
      <c r="B39" s="33" t="n">
        <v>500</v>
      </c>
    </row>
    <row r="40" ht="15" customHeight="1" s="21">
      <c r="A40" s="32" t="inlineStr">
        <is>
          <t>2026-06-27</t>
        </is>
      </c>
      <c r="B40" s="33" t="n">
        <v>600</v>
      </c>
    </row>
    <row r="41" ht="15" customHeight="1" s="21">
      <c r="A41" s="32" t="inlineStr">
        <is>
          <t>2026-06-27</t>
        </is>
      </c>
      <c r="B41" s="33" t="n">
        <v>500</v>
      </c>
    </row>
    <row r="42" ht="15" customHeight="1" s="21">
      <c r="A42" s="32" t="inlineStr">
        <is>
          <t>2026-06-28</t>
        </is>
      </c>
      <c r="B42" s="33" t="n">
        <v>600</v>
      </c>
    </row>
    <row r="43" ht="15" customHeight="1" s="21">
      <c r="A43" s="32" t="inlineStr">
        <is>
          <t>2026-06-30</t>
        </is>
      </c>
      <c r="B43" s="33" t="n">
        <v>600</v>
      </c>
    </row>
    <row r="44" ht="15" customHeight="1" s="21">
      <c r="A44" s="32" t="inlineStr">
        <is>
          <t>2026-07-02</t>
        </is>
      </c>
      <c r="B44" s="33" t="n">
        <v>600</v>
      </c>
    </row>
    <row r="45" ht="15" customHeight="1" s="21">
      <c r="A45" s="32" t="inlineStr">
        <is>
          <t>2026-07-03</t>
        </is>
      </c>
      <c r="B45" s="33" t="n">
        <v>800</v>
      </c>
    </row>
    <row r="46" ht="15" customHeight="1" s="21">
      <c r="A46" s="32" t="inlineStr">
        <is>
          <t>2026-07-03</t>
        </is>
      </c>
      <c r="B46" s="33" t="n">
        <v>500</v>
      </c>
    </row>
    <row r="47" ht="15" customHeight="1" s="21">
      <c r="A47" s="32" t="inlineStr">
        <is>
          <t>2026-07-04</t>
        </is>
      </c>
      <c r="B47" s="33" t="n">
        <v>520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0" min="1" max="1"/>
    <col width="11" customWidth="1" style="20" min="2" max="2"/>
    <col width="14" customWidth="1" style="20" min="3" max="3"/>
    <col width="13" customWidth="1" style="20" min="4" max="5"/>
    <col width="17" customWidth="1" style="20" min="6" max="6"/>
  </cols>
  <sheetData>
    <row r="1" ht="16.15" customHeight="1" s="21">
      <c r="A1" s="25" t="inlineStr">
        <is>
          <t>R.R. Garden — Monthly Room Rate Trend</t>
        </is>
      </c>
    </row>
    <row r="2" ht="15" customHeight="1" s="21">
      <c r="A2" s="26" t="inlineStr">
        <is>
          <t>Auto-calculated from "Hisaab Bookings" sheet using AVERAGEIFS/COUNTIFS/MIN/MAXIFS. Add new months to Hisaab Bookings and this updates automatically.</t>
        </is>
      </c>
    </row>
    <row r="4" ht="15" customHeight="1" s="21">
      <c r="A4" s="27" t="inlineStr">
        <is>
          <t>Month</t>
        </is>
      </c>
      <c r="B4" s="27" t="inlineStr">
        <is>
          <t>Bookings</t>
        </is>
      </c>
      <c r="C4" s="27" t="inlineStr">
        <is>
          <t>Avg Rate (Rs)</t>
        </is>
      </c>
      <c r="D4" s="27" t="inlineStr">
        <is>
          <t>Min Rate (Rs)</t>
        </is>
      </c>
      <c r="E4" s="27" t="inlineStr">
        <is>
          <t>Max Rate (Rs)</t>
        </is>
      </c>
      <c r="F4" s="27" t="inlineStr">
        <is>
          <t>Total Revenue (Rs)</t>
        </is>
      </c>
    </row>
    <row r="5" ht="15" customHeight="1" s="21">
      <c r="A5" s="34" t="inlineStr">
        <is>
          <t>May 2026</t>
        </is>
      </c>
      <c r="B5" s="34">
        <f>COUNTIFS('Hisaab Bookings'!$A$5:$A$47,"&gt;="&amp;DATE(2026,5,1),'Hisaab Bookings'!$A$5:$A$47,"&lt;="&amp;DATE(2026,5,31))</f>
        <v/>
      </c>
      <c r="C5" s="35">
        <f>IFERROR(AVERAGEIFS('Hisaab Bookings'!$B$5:$B$47,'Hisaab Bookings'!$A$5:$A$47,"&gt;="&amp;DATE(2026,5,1),'Hisaab Bookings'!$A$5:$A$47,"&lt;="&amp;DATE(2026,5,31)),0)</f>
        <v/>
      </c>
      <c r="D5" s="35">
        <f>IFERROR(minifs('Hisaab Bookings'!$B$5:$B$47,'Hisaab Bookings'!$A$5:$A$47,"&gt;="&amp;DATE(2026,5,1),'Hisaab Bookings'!$A$5:$A$47,"&lt;="&amp;DATE(2026,5,31)),0)</f>
        <v/>
      </c>
      <c r="E5" s="35">
        <f>IFERROR(maxifs('Hisaab Bookings'!$B$5:$B$47,'Hisaab Bookings'!$A$5:$A$47,"&gt;="&amp;DATE(2026,5,1),'Hisaab Bookings'!$A$5:$A$47,"&lt;="&amp;DATE(2026,5,31)),0)</f>
        <v/>
      </c>
      <c r="F5" s="35">
        <f>IFERROR(SUMIFS('Hisaab Bookings'!$B$5:$B$47,'Hisaab Bookings'!$A$5:$A$47,"&gt;="&amp;DATE(2026,5,1),'Hisaab Bookings'!$A$5:$A$47,"&lt;="&amp;DATE(2026,5,31)),0)</f>
        <v/>
      </c>
    </row>
    <row r="6" ht="15" customHeight="1" s="21">
      <c r="A6" s="34" t="inlineStr">
        <is>
          <t>June 2026</t>
        </is>
      </c>
      <c r="B6" s="34">
        <f>COUNTIFS('Hisaab Bookings'!$A$5:$A$47,"&gt;="&amp;DATE(2026,6,1),'Hisaab Bookings'!$A$5:$A$47,"&lt;="&amp;DATE(2026,6,30))</f>
        <v/>
      </c>
      <c r="C6" s="35">
        <f>IFERROR(AVERAGEIFS('Hisaab Bookings'!$B$5:$B$47,'Hisaab Bookings'!$A$5:$A$47,"&gt;="&amp;DATE(2026,6,1),'Hisaab Bookings'!$A$5:$A$47,"&lt;="&amp;DATE(2026,6,30)),0)</f>
        <v/>
      </c>
      <c r="D6" s="35">
        <f>IFERROR(minifs('Hisaab Bookings'!$B$5:$B$47,'Hisaab Bookings'!$A$5:$A$47,"&gt;="&amp;DATE(2026,6,1),'Hisaab Bookings'!$A$5:$A$47,"&lt;="&amp;DATE(2026,6,30)),0)</f>
        <v/>
      </c>
      <c r="E6" s="35">
        <f>IFERROR(maxifs('Hisaab Bookings'!$B$5:$B$47,'Hisaab Bookings'!$A$5:$A$47,"&gt;="&amp;DATE(2026,6,1),'Hisaab Bookings'!$A$5:$A$47,"&lt;="&amp;DATE(2026,6,30)),0)</f>
        <v/>
      </c>
      <c r="F6" s="35">
        <f>IFERROR(SUMIFS('Hisaab Bookings'!$B$5:$B$47,'Hisaab Bookings'!$A$5:$A$47,"&gt;="&amp;DATE(2026,6,1),'Hisaab Bookings'!$A$5:$A$47,"&lt;="&amp;DATE(2026,6,30)),0)</f>
        <v/>
      </c>
    </row>
    <row r="7" ht="15" customHeight="1" s="21">
      <c r="A7" s="34" t="inlineStr">
        <is>
          <t>July 2026</t>
        </is>
      </c>
      <c r="B7" s="34">
        <f>COUNTIFS('Hisaab Bookings'!$A$5:$A$47,"&gt;="&amp;DATE(2026,7,1),'Hisaab Bookings'!$A$5:$A$47,"&lt;="&amp;DATE(2026,7,31))</f>
        <v/>
      </c>
      <c r="C7" s="35">
        <f>IFERROR(AVERAGEIFS('Hisaab Bookings'!$B$5:$B$47,'Hisaab Bookings'!$A$5:$A$47,"&gt;="&amp;DATE(2026,7,1),'Hisaab Bookings'!$A$5:$A$47,"&lt;="&amp;DATE(2026,7,31)),0)</f>
        <v/>
      </c>
      <c r="D7" s="35">
        <f>IFERROR(minifs('Hisaab Bookings'!$B$5:$B$47,'Hisaab Bookings'!$A$5:$A$47,"&gt;="&amp;DATE(2026,7,1),'Hisaab Bookings'!$A$5:$A$47,"&lt;="&amp;DATE(2026,7,31)),0)</f>
        <v/>
      </c>
      <c r="E7" s="35">
        <f>IFERROR(maxifs('Hisaab Bookings'!$B$5:$B$47,'Hisaab Bookings'!$A$5:$A$47,"&gt;="&amp;DATE(2026,7,1),'Hisaab Bookings'!$A$5:$A$47,"&lt;="&amp;DATE(2026,7,31)),0)</f>
        <v/>
      </c>
      <c r="F7" s="35">
        <f>IFERROR(SUMIFS('Hisaab Bookings'!$B$5:$B$47,'Hisaab Bookings'!$A$5:$A$47,"&gt;="&amp;DATE(2026,7,1),'Hisaab Bookings'!$A$5:$A$47,"&lt;="&amp;DATE(2026,7,31)),0)</f>
        <v/>
      </c>
    </row>
    <row r="8" ht="15" customHeight="1" s="21">
      <c r="A8" s="36" t="inlineStr">
        <is>
          <t>All-time (loaded data)</t>
        </is>
      </c>
      <c r="B8" s="36">
        <f>COUNT('Hisaab Bookings'!$B$5:$B$47)</f>
        <v/>
      </c>
      <c r="C8" s="37">
        <f>AVERAGE('Hisaab Bookings'!$B$5:$B$47)</f>
        <v/>
      </c>
      <c r="D8" s="37">
        <f>MIN('Hisaab Bookings'!$B$5:$B$47)</f>
        <v/>
      </c>
      <c r="E8" s="37">
        <f>MAX('Hisaab Bookings'!$B$5:$B$47)</f>
        <v/>
      </c>
      <c r="F8" s="37">
        <f>SUM('Hisaab Bookings'!$B$5:$B$47)</f>
        <v/>
      </c>
    </row>
  </sheetData>
  <mergeCells count="1">
    <mergeCell ref="A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20" min="1" max="1"/>
    <col width="14" customWidth="1" style="20" min="2" max="2"/>
  </cols>
  <sheetData>
    <row r="1" ht="16.15" customHeight="1" s="21">
      <c r="A1" s="25" t="inlineStr">
        <is>
          <t>R.R. Garden — Income Split / Settlement Notes (from diary)</t>
        </is>
      </c>
    </row>
    <row r="2" ht="15" customHeight="1" s="21">
      <c r="A2" s="26" t="inlineStr">
        <is>
          <t>These are running settlement notes found under the June/July totals — meaning not 100% certain, please confirm. Likely a split of room income between people (Uncle, Ansh, Malwa) plus online vs cash tracking and balance due.</t>
        </is>
      </c>
    </row>
    <row r="4" ht="15" customHeight="1" s="21">
      <c r="A4" s="38" t="inlineStr">
        <is>
          <t>June (first half, 31 May – 14 Jun)</t>
        </is>
      </c>
    </row>
    <row r="5" ht="15" customHeight="1" s="21">
      <c r="A5" s="30" t="inlineStr">
        <is>
          <t>Total</t>
        </is>
      </c>
      <c r="B5" s="33" t="n">
        <v>10930</v>
      </c>
    </row>
    <row r="6" ht="15" customHeight="1" s="21">
      <c r="A6" s="30" t="inlineStr">
        <is>
          <t>Uncle</t>
        </is>
      </c>
      <c r="B6" s="33" t="n">
        <v>8100</v>
      </c>
    </row>
    <row r="7" ht="15" customHeight="1" s="21">
      <c r="A7" s="30" t="inlineStr">
        <is>
          <t>Ansh</t>
        </is>
      </c>
      <c r="B7" s="33" t="n">
        <v>900</v>
      </c>
    </row>
    <row r="8" ht="15" customHeight="1" s="21">
      <c r="A8" s="30" t="inlineStr">
        <is>
          <t>Malwa</t>
        </is>
      </c>
      <c r="B8" s="33" t="n">
        <v>1000</v>
      </c>
    </row>
    <row r="9" ht="15" customHeight="1" s="21">
      <c r="A9" s="30" t="inlineStr">
        <is>
          <t>Online</t>
        </is>
      </c>
      <c r="B9" s="33" t="n">
        <v>700</v>
      </c>
    </row>
    <row r="10" ht="15" customHeight="1" s="21">
      <c r="A10" s="30" t="inlineStr">
        <is>
          <t>Baki hai (balance due)</t>
        </is>
      </c>
      <c r="B10" s="33" t="n">
        <v>200</v>
      </c>
    </row>
    <row r="12" ht="15" customHeight="1" s="21">
      <c r="A12" s="38" t="inlineStr">
        <is>
          <t>June (second half, 15–30 Jun)</t>
        </is>
      </c>
    </row>
    <row r="13" ht="15" customHeight="1" s="21">
      <c r="A13" s="30" t="inlineStr">
        <is>
          <t>Total</t>
        </is>
      </c>
      <c r="B13" s="33" t="n">
        <v>11830</v>
      </c>
    </row>
    <row r="14" ht="15" customHeight="1" s="21">
      <c r="A14" s="30" t="inlineStr">
        <is>
          <t>Uncle+Ansh</t>
        </is>
      </c>
      <c r="B14" s="33" t="n">
        <v>1050</v>
      </c>
    </row>
    <row r="15" ht="15" customHeight="1" s="21">
      <c r="A15" s="30" t="inlineStr">
        <is>
          <t>Malwa</t>
        </is>
      </c>
      <c r="B15" s="33" t="n">
        <v>2000</v>
      </c>
    </row>
    <row r="16" ht="15" customHeight="1" s="21">
      <c r="A16" s="29" t="inlineStr">
        <is>
          <t>VERIFY (unclear label)</t>
        </is>
      </c>
      <c r="B16" s="39" t="n">
        <v>700</v>
      </c>
    </row>
    <row r="17" ht="15" customHeight="1" s="21">
      <c r="A17" s="29" t="inlineStr">
        <is>
          <t>VERIFY (unclear label)</t>
        </is>
      </c>
      <c r="B17" s="39" t="n">
        <v>170</v>
      </c>
    </row>
    <row r="18" ht="15" customHeight="1" s="21">
      <c r="A18" s="30" t="inlineStr">
        <is>
          <t>Dena hai (to be paid)</t>
        </is>
      </c>
      <c r="B18" s="33" t="n">
        <v>2010</v>
      </c>
    </row>
    <row r="19" ht="15" customHeight="1" s="21">
      <c r="A19" s="30" t="inlineStr">
        <is>
          <t>Baki (balance due)</t>
        </is>
      </c>
      <c r="B19" s="33" t="n">
        <v>200</v>
      </c>
    </row>
    <row r="20" ht="15" customHeight="1" s="21">
      <c r="A20" s="30" t="inlineStr">
        <is>
          <t>Total settlement</t>
        </is>
      </c>
      <c r="B20" s="33" t="n">
        <v>2810</v>
      </c>
    </row>
  </sheetData>
  <mergeCells count="3">
    <mergeCell ref="A4:B4"/>
    <mergeCell ref="A2:D2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" customWidth="1" style="20" min="1" max="1"/>
    <col width="16" customWidth="1" style="20" min="2" max="2"/>
    <col width="30" customWidth="1" style="20" min="3" max="3"/>
    <col width="13" customWidth="1" style="20" min="4" max="4"/>
    <col width="14" customWidth="1" style="20" min="5" max="5"/>
    <col width="26" customWidth="1" style="20" min="6" max="6"/>
  </cols>
  <sheetData>
    <row r="1" ht="16.15" customHeight="1" s="21">
      <c r="A1" s="25" t="inlineStr">
        <is>
          <t>R.R. Garden — Expenses Tracker</t>
        </is>
      </c>
    </row>
    <row r="2" ht="15" customHeight="1" s="21">
      <c r="A2" s="26" t="inlineStr">
        <is>
          <t>Log ongoing expenses here (repairs, supplies, staff, electricity, etc.) to net against booking revenue.</t>
        </is>
      </c>
    </row>
    <row r="4" ht="15" customHeight="1" s="21">
      <c r="A4" s="27" t="inlineStr">
        <is>
          <t>Date</t>
        </is>
      </c>
      <c r="B4" s="27" t="inlineStr">
        <is>
          <t>Category</t>
        </is>
      </c>
      <c r="C4" s="27" t="inlineStr">
        <is>
          <t>Description</t>
        </is>
      </c>
      <c r="D4" s="27" t="inlineStr">
        <is>
          <t>Amount (Rs)</t>
        </is>
      </c>
      <c r="E4" s="27" t="inlineStr">
        <is>
          <t>Paid By</t>
        </is>
      </c>
      <c r="F4" s="27" t="inlineStr">
        <is>
          <t>Notes</t>
        </is>
      </c>
    </row>
    <row r="5" ht="15" customHeight="1" s="21">
      <c r="A5" s="32" t="n"/>
      <c r="B5" s="30" t="n"/>
      <c r="C5" s="30" t="n"/>
      <c r="D5" s="30" t="n"/>
      <c r="E5" s="30" t="n"/>
      <c r="F5" s="30" t="n"/>
    </row>
    <row r="6" ht="15" customHeight="1" s="21">
      <c r="A6" s="30" t="n"/>
      <c r="B6" s="30" t="n"/>
      <c r="C6" s="30" t="n"/>
      <c r="D6" s="30" t="n"/>
      <c r="E6" s="30" t="n"/>
      <c r="F6" s="30" t="n"/>
    </row>
    <row r="7" ht="15" customHeight="1" s="21">
      <c r="A7" s="30" t="n"/>
      <c r="B7" s="30" t="n"/>
      <c r="C7" s="30" t="n"/>
      <c r="D7" s="30" t="n"/>
      <c r="E7" s="30" t="n"/>
      <c r="F7" s="30" t="n"/>
    </row>
    <row r="8" ht="15" customHeight="1" s="21">
      <c r="A8" s="30" t="n"/>
      <c r="B8" s="30" t="n"/>
      <c r="C8" s="30" t="n"/>
      <c r="D8" s="30" t="n"/>
      <c r="E8" s="30" t="n"/>
      <c r="F8" s="30" t="n"/>
    </row>
    <row r="9" ht="15" customHeight="1" s="21">
      <c r="A9" s="30" t="n"/>
      <c r="B9" s="30" t="n"/>
      <c r="C9" s="30" t="n"/>
      <c r="D9" s="30" t="n"/>
      <c r="E9" s="30" t="n"/>
      <c r="F9" s="30" t="n"/>
    </row>
    <row r="10" ht="15" customHeight="1" s="21">
      <c r="A10" s="30" t="n"/>
      <c r="B10" s="30" t="n"/>
      <c r="C10" s="30" t="n"/>
      <c r="D10" s="30" t="n"/>
      <c r="E10" s="30" t="n"/>
      <c r="F10" s="30" t="n"/>
    </row>
    <row r="11" ht="15" customHeight="1" s="21">
      <c r="A11" s="30" t="n"/>
      <c r="B11" s="30" t="n"/>
      <c r="C11" s="30" t="n"/>
      <c r="D11" s="30" t="n"/>
      <c r="E11" s="30" t="n"/>
      <c r="F11" s="30" t="n"/>
    </row>
    <row r="12" ht="15" customHeight="1" s="21">
      <c r="A12" s="30" t="n"/>
      <c r="B12" s="30" t="n"/>
      <c r="C12" s="30" t="n"/>
      <c r="D12" s="30" t="n"/>
      <c r="E12" s="30" t="n"/>
      <c r="F12" s="30" t="n"/>
    </row>
    <row r="13" ht="15" customHeight="1" s="21">
      <c r="A13" s="30" t="n"/>
      <c r="B13" s="30" t="n"/>
      <c r="C13" s="30" t="n"/>
      <c r="D13" s="30" t="n"/>
      <c r="E13" s="30" t="n"/>
      <c r="F13" s="30" t="n"/>
    </row>
    <row r="14" ht="15" customHeight="1" s="21">
      <c r="A14" s="30" t="n"/>
      <c r="B14" s="30" t="n"/>
      <c r="C14" s="30" t="n"/>
      <c r="D14" s="30" t="n"/>
      <c r="E14" s="30" t="n"/>
      <c r="F14" s="30" t="n"/>
    </row>
    <row r="15" ht="15" customHeight="1" s="21">
      <c r="A15" s="30" t="n"/>
      <c r="B15" s="30" t="n"/>
      <c r="C15" s="30" t="n"/>
      <c r="D15" s="30" t="n"/>
      <c r="E15" s="30" t="n"/>
      <c r="F15" s="30" t="n"/>
    </row>
    <row r="16" ht="15" customHeight="1" s="21">
      <c r="A16" s="30" t="n"/>
      <c r="B16" s="30" t="n"/>
      <c r="C16" s="30" t="n"/>
      <c r="D16" s="30" t="n"/>
      <c r="E16" s="30" t="n"/>
      <c r="F16" s="30" t="n"/>
    </row>
    <row r="17" ht="15" customHeight="1" s="21">
      <c r="A17" s="30" t="n"/>
      <c r="B17" s="30" t="n"/>
      <c r="C17" s="30" t="n"/>
      <c r="D17" s="30" t="n"/>
      <c r="E17" s="30" t="n"/>
      <c r="F17" s="30" t="n"/>
    </row>
    <row r="18" ht="15" customHeight="1" s="21">
      <c r="A18" s="30" t="n"/>
      <c r="B18" s="30" t="n"/>
      <c r="C18" s="30" t="n"/>
      <c r="D18" s="30" t="n"/>
      <c r="E18" s="30" t="n"/>
      <c r="F18" s="30" t="n"/>
    </row>
    <row r="19" ht="15" customHeight="1" s="21">
      <c r="A19" s="30" t="n"/>
      <c r="B19" s="30" t="n"/>
      <c r="C19" s="30" t="n"/>
      <c r="D19" s="30" t="n"/>
      <c r="E19" s="30" t="n"/>
      <c r="F19" s="30" t="n"/>
    </row>
    <row r="20" ht="15" customHeight="1" s="21">
      <c r="A20" s="30" t="n"/>
      <c r="B20" s="30" t="n"/>
      <c r="C20" s="30" t="n"/>
      <c r="D20" s="30" t="n"/>
      <c r="E20" s="30" t="n"/>
      <c r="F20" s="30" t="n"/>
    </row>
    <row r="21" ht="15" customHeight="1" s="21">
      <c r="A21" s="30" t="n"/>
      <c r="B21" s="30" t="n"/>
      <c r="C21" s="30" t="n"/>
      <c r="D21" s="30" t="n"/>
      <c r="E21" s="30" t="n"/>
      <c r="F21" s="30" t="n"/>
    </row>
    <row r="22" ht="15" customHeight="1" s="21">
      <c r="A22" s="30" t="n"/>
      <c r="B22" s="30" t="n"/>
      <c r="C22" s="30" t="n"/>
      <c r="D22" s="30" t="n"/>
      <c r="E22" s="30" t="n"/>
      <c r="F22" s="30" t="n"/>
    </row>
    <row r="23" ht="15" customHeight="1" s="21">
      <c r="A23" s="30" t="n"/>
      <c r="B23" s="30" t="n"/>
      <c r="C23" s="30" t="n"/>
      <c r="D23" s="30" t="n"/>
      <c r="E23" s="30" t="n"/>
      <c r="F23" s="30" t="n"/>
    </row>
    <row r="24" ht="15" customHeight="1" s="21">
      <c r="A24" s="30" t="n"/>
      <c r="B24" s="30" t="n"/>
      <c r="C24" s="30" t="n"/>
      <c r="D24" s="30" t="n"/>
      <c r="E24" s="30" t="n"/>
      <c r="F24" s="30" t="n"/>
    </row>
    <row r="25" ht="15" customHeight="1" s="21">
      <c r="A25" s="30" t="n"/>
      <c r="B25" s="30" t="n"/>
      <c r="C25" s="30" t="n"/>
      <c r="D25" s="30" t="n"/>
      <c r="E25" s="30" t="n"/>
      <c r="F25" s="30" t="n"/>
    </row>
    <row r="26" ht="15" customHeight="1" s="21">
      <c r="A26" s="30" t="n"/>
      <c r="B26" s="30" t="n"/>
      <c r="C26" s="30" t="n"/>
      <c r="D26" s="30" t="n"/>
      <c r="E26" s="30" t="n"/>
      <c r="F26" s="30" t="n"/>
    </row>
    <row r="27" ht="15" customHeight="1" s="21">
      <c r="A27" s="30" t="n"/>
      <c r="B27" s="30" t="n"/>
      <c r="C27" s="30" t="n"/>
      <c r="D27" s="30" t="n"/>
      <c r="E27" s="30" t="n"/>
      <c r="F27" s="30" t="n"/>
    </row>
    <row r="28" ht="15" customHeight="1" s="21">
      <c r="A28" s="30" t="n"/>
      <c r="B28" s="30" t="n"/>
      <c r="C28" s="30" t="n"/>
      <c r="D28" s="30" t="n"/>
      <c r="E28" s="30" t="n"/>
      <c r="F28" s="30" t="n"/>
    </row>
    <row r="29" ht="15" customHeight="1" s="21">
      <c r="A29" s="30" t="n"/>
      <c r="B29" s="30" t="n"/>
      <c r="C29" s="30" t="n"/>
      <c r="D29" s="30" t="n"/>
      <c r="E29" s="30" t="n"/>
      <c r="F29" s="30" t="n"/>
    </row>
    <row r="30" ht="15" customHeight="1" s="21">
      <c r="A30" s="30" t="n"/>
      <c r="B30" s="30" t="n"/>
      <c r="C30" s="30" t="n"/>
      <c r="D30" s="30" t="n"/>
      <c r="E30" s="30" t="n"/>
      <c r="F30" s="30" t="n"/>
    </row>
    <row r="31" ht="15" customHeight="1" s="21">
      <c r="A31" s="30" t="n"/>
      <c r="B31" s="30" t="n"/>
      <c r="C31" s="30" t="n"/>
      <c r="D31" s="30" t="n"/>
      <c r="E31" s="30" t="n"/>
      <c r="F31" s="30" t="n"/>
    </row>
    <row r="32" ht="15" customHeight="1" s="21">
      <c r="A32" s="30" t="n"/>
      <c r="B32" s="30" t="n"/>
      <c r="C32" s="30" t="n"/>
      <c r="D32" s="30" t="n"/>
      <c r="E32" s="30" t="n"/>
      <c r="F32" s="30" t="n"/>
    </row>
    <row r="33" ht="15" customHeight="1" s="21">
      <c r="A33" s="30" t="n"/>
      <c r="B33" s="30" t="n"/>
      <c r="C33" s="30" t="n"/>
      <c r="D33" s="30" t="n"/>
      <c r="E33" s="30" t="n"/>
      <c r="F33" s="30" t="n"/>
    </row>
    <row r="34" ht="15" customHeight="1" s="21">
      <c r="A34" s="30" t="n"/>
      <c r="B34" s="30" t="n"/>
      <c r="C34" s="30" t="n"/>
      <c r="D34" s="30" t="n"/>
      <c r="E34" s="30" t="n"/>
      <c r="F34" s="30" t="n"/>
    </row>
    <row r="35" ht="15" customHeight="1" s="21">
      <c r="A35" s="30" t="n"/>
      <c r="B35" s="30" t="n"/>
      <c r="C35" s="30" t="n"/>
      <c r="D35" s="30" t="n"/>
      <c r="E35" s="30" t="n"/>
      <c r="F35" s="30" t="n"/>
    </row>
    <row r="36" ht="15" customHeight="1" s="21">
      <c r="A36" s="30" t="n"/>
      <c r="B36" s="30" t="n"/>
      <c r="C36" s="30" t="n"/>
      <c r="D36" s="30" t="n"/>
      <c r="E36" s="30" t="n"/>
      <c r="F36" s="30" t="n"/>
    </row>
    <row r="37" ht="15" customHeight="1" s="21">
      <c r="A37" s="30" t="n"/>
      <c r="B37" s="30" t="n"/>
      <c r="C37" s="30" t="n"/>
      <c r="D37" s="30" t="n"/>
      <c r="E37" s="30" t="n"/>
      <c r="F37" s="30" t="n"/>
    </row>
    <row r="38" ht="15" customHeight="1" s="21">
      <c r="A38" s="30" t="n"/>
      <c r="B38" s="30" t="n"/>
      <c r="C38" s="30" t="n"/>
      <c r="D38" s="30" t="n"/>
      <c r="E38" s="30" t="n"/>
      <c r="F38" s="30" t="n"/>
    </row>
    <row r="39" ht="15" customHeight="1" s="21">
      <c r="A39" s="30" t="n"/>
      <c r="B39" s="30" t="n"/>
      <c r="C39" s="30" t="n"/>
      <c r="D39" s="30" t="n"/>
      <c r="E39" s="30" t="n"/>
      <c r="F39" s="30" t="n"/>
    </row>
    <row r="41" ht="15" customHeight="1" s="21">
      <c r="C41" s="40" t="inlineStr">
        <is>
          <t>Total</t>
        </is>
      </c>
      <c r="D41" s="41">
        <f>SUM(D5:D40)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42" t="inlineStr">
        <is>
          <t>Monthly Bookings &amp; Ansh Commission</t>
        </is>
      </c>
    </row>
    <row r="2">
      <c r="A2" s="43" t="inlineStr">
        <is>
          <t>Booking count from Guest Register ArrivalDateTime. Commission = Rs 50/booking; manager remits within 15 days minus commission.</t>
        </is>
      </c>
    </row>
    <row r="4">
      <c r="A4" s="45" t="inlineStr">
        <is>
          <t>Month</t>
        </is>
      </c>
      <c r="B4" s="45" t="inlineStr">
        <is>
          <t>Bookings</t>
        </is>
      </c>
      <c r="C4" s="45" t="inlineStr">
        <is>
          <t>Commission (Rs 50/booking)</t>
        </is>
      </c>
    </row>
    <row r="5">
      <c r="A5" t="inlineStr">
        <is>
          <t>11/2024</t>
        </is>
      </c>
      <c r="B5">
        <f>COUNTIF('Guest Register'!$M$5:$M$10000,"*/11/24 *")+COUNTIF('Guest Register'!$M$5:$M$10000,"*/11/24")</f>
        <v/>
      </c>
      <c r="C5">
        <f>B5*50</f>
        <v/>
      </c>
    </row>
    <row r="6">
      <c r="A6" t="inlineStr">
        <is>
          <t>12/2024</t>
        </is>
      </c>
      <c r="B6">
        <f>COUNTIF('Guest Register'!$M$5:$M$10000,"*/12/24 *")+COUNTIF('Guest Register'!$M$5:$M$10000,"*/12/24")</f>
        <v/>
      </c>
      <c r="C6">
        <f>B6*50</f>
        <v/>
      </c>
    </row>
    <row r="7">
      <c r="A7" t="inlineStr">
        <is>
          <t>01/2025</t>
        </is>
      </c>
      <c r="B7">
        <f>COUNTIF('Guest Register'!$M$5:$M$10000,"*/1/25 *")+COUNTIF('Guest Register'!$M$5:$M$10000,"*/1/25")+COUNTIF('Guest Register'!$M$5:$M$10000,"*/01/25 *")+COUNTIF('Guest Register'!$M$5:$M$10000,"*/01/25")</f>
        <v/>
      </c>
      <c r="C7">
        <f>B7*50</f>
        <v/>
      </c>
    </row>
    <row r="8">
      <c r="A8" t="inlineStr">
        <is>
          <t>02/2025</t>
        </is>
      </c>
      <c r="B8">
        <f>COUNTIF('Guest Register'!$M$5:$M$10000,"*/2/25 *")+COUNTIF('Guest Register'!$M$5:$M$10000,"*/2/25")+COUNTIF('Guest Register'!$M$5:$M$10000,"*/02/25 *")+COUNTIF('Guest Register'!$M$5:$M$10000,"*/02/25")</f>
        <v/>
      </c>
      <c r="C8">
        <f>B8*50</f>
        <v/>
      </c>
    </row>
    <row r="9">
      <c r="A9" t="inlineStr">
        <is>
          <t>03/2025</t>
        </is>
      </c>
      <c r="B9">
        <f>COUNTIF('Guest Register'!$M$5:$M$10000,"*/3/25 *")+COUNTIF('Guest Register'!$M$5:$M$10000,"*/3/25")+COUNTIF('Guest Register'!$M$5:$M$10000,"*/03/25 *")+COUNTIF('Guest Register'!$M$5:$M$10000,"*/03/25")</f>
        <v/>
      </c>
      <c r="C9">
        <f>B9*50</f>
        <v/>
      </c>
    </row>
    <row r="10">
      <c r="A10" t="inlineStr">
        <is>
          <t>04/2025</t>
        </is>
      </c>
      <c r="B10">
        <f>COUNTIF('Guest Register'!$M$5:$M$10000,"*/4/25 *")+COUNTIF('Guest Register'!$M$5:$M$10000,"*/4/25")+COUNTIF('Guest Register'!$M$5:$M$10000,"*/04/25 *")+COUNTIF('Guest Register'!$M$5:$M$10000,"*/04/25")</f>
        <v/>
      </c>
      <c r="C10">
        <f>B10*50</f>
        <v/>
      </c>
    </row>
    <row r="11">
      <c r="A11" t="inlineStr">
        <is>
          <t>05/2025</t>
        </is>
      </c>
      <c r="B11">
        <f>COUNTIF('Guest Register'!$M$5:$M$10000,"*/5/25 *")+COUNTIF('Guest Register'!$M$5:$M$10000,"*/5/25")+COUNTIF('Guest Register'!$M$5:$M$10000,"*/05/25 *")+COUNTIF('Guest Register'!$M$5:$M$10000,"*/05/25")</f>
        <v/>
      </c>
      <c r="C11">
        <f>B11*50</f>
        <v/>
      </c>
    </row>
    <row r="12">
      <c r="A12" t="inlineStr">
        <is>
          <t>06/2025</t>
        </is>
      </c>
      <c r="B12">
        <f>COUNTIF('Guest Register'!$M$5:$M$10000,"*/6/25 *")+COUNTIF('Guest Register'!$M$5:$M$10000,"*/6/25")+COUNTIF('Guest Register'!$M$5:$M$10000,"*/06/25 *")+COUNTIF('Guest Register'!$M$5:$M$10000,"*/06/25")</f>
        <v/>
      </c>
      <c r="C12">
        <f>B12*50</f>
        <v/>
      </c>
    </row>
    <row r="13">
      <c r="A13" t="inlineStr">
        <is>
          <t>07/2025</t>
        </is>
      </c>
      <c r="B13">
        <f>COUNTIF('Guest Register'!$M$5:$M$10000,"*/7/25 *")+COUNTIF('Guest Register'!$M$5:$M$10000,"*/7/25")+COUNTIF('Guest Register'!$M$5:$M$10000,"*/07/25 *")+COUNTIF('Guest Register'!$M$5:$M$10000,"*/07/25")</f>
        <v/>
      </c>
      <c r="C13">
        <f>B13*50</f>
        <v/>
      </c>
    </row>
    <row r="14">
      <c r="A14" t="inlineStr">
        <is>
          <t>08/2025</t>
        </is>
      </c>
      <c r="B14">
        <f>COUNTIF('Guest Register'!$M$5:$M$10000,"*/8/25 *")+COUNTIF('Guest Register'!$M$5:$M$10000,"*/8/25")+COUNTIF('Guest Register'!$M$5:$M$10000,"*/08/25 *")+COUNTIF('Guest Register'!$M$5:$M$10000,"*/08/25")</f>
        <v/>
      </c>
      <c r="C14">
        <f>B14*50</f>
        <v/>
      </c>
    </row>
    <row r="15">
      <c r="A15" t="inlineStr">
        <is>
          <t>09/2025</t>
        </is>
      </c>
      <c r="B15">
        <f>COUNTIF('Guest Register'!$M$5:$M$10000,"*/9/25 *")+COUNTIF('Guest Register'!$M$5:$M$10000,"*/9/25")+COUNTIF('Guest Register'!$M$5:$M$10000,"*/09/25 *")+COUNTIF('Guest Register'!$M$5:$M$10000,"*/09/25")</f>
        <v/>
      </c>
      <c r="C15">
        <f>B15*50</f>
        <v/>
      </c>
    </row>
    <row r="16">
      <c r="A16" t="inlineStr">
        <is>
          <t>10/2025</t>
        </is>
      </c>
      <c r="B16">
        <f>COUNTIF('Guest Register'!$M$5:$M$10000,"*/10/25 *")+COUNTIF('Guest Register'!$M$5:$M$10000,"*/10/25")</f>
        <v/>
      </c>
      <c r="C16">
        <f>B16*50</f>
        <v/>
      </c>
    </row>
    <row r="17">
      <c r="A17" t="inlineStr">
        <is>
          <t>11/2025</t>
        </is>
      </c>
      <c r="B17">
        <f>COUNTIF('Guest Register'!$M$5:$M$10000,"*/11/25 *")+COUNTIF('Guest Register'!$M$5:$M$10000,"*/11/25")</f>
        <v/>
      </c>
      <c r="C17">
        <f>B17*50</f>
        <v/>
      </c>
    </row>
    <row r="18">
      <c r="A18" t="inlineStr">
        <is>
          <t>12/2025</t>
        </is>
      </c>
      <c r="B18">
        <f>COUNTIF('Guest Register'!$M$5:$M$10000,"*/12/25 *")+COUNTIF('Guest Register'!$M$5:$M$10000,"*/12/25")</f>
        <v/>
      </c>
      <c r="C18">
        <f>B18*50</f>
        <v/>
      </c>
    </row>
    <row r="19">
      <c r="A19" t="inlineStr">
        <is>
          <t>01/2026</t>
        </is>
      </c>
      <c r="B19">
        <f>COUNTIF('Guest Register'!$M$5:$M$10000,"*/1/26 *")+COUNTIF('Guest Register'!$M$5:$M$10000,"*/1/26")+COUNTIF('Guest Register'!$M$5:$M$10000,"*/01/26 *")+COUNTIF('Guest Register'!$M$5:$M$10000,"*/01/26")</f>
        <v/>
      </c>
      <c r="C19">
        <f>B19*50</f>
        <v/>
      </c>
    </row>
    <row r="20">
      <c r="A20" t="inlineStr">
        <is>
          <t>02/2026</t>
        </is>
      </c>
      <c r="B20">
        <f>COUNTIF('Guest Register'!$M$5:$M$10000,"*/2/26 *")+COUNTIF('Guest Register'!$M$5:$M$10000,"*/2/26")+COUNTIF('Guest Register'!$M$5:$M$10000,"*/02/26 *")+COUNTIF('Guest Register'!$M$5:$M$10000,"*/02/26")</f>
        <v/>
      </c>
      <c r="C20">
        <f>B20*50</f>
        <v/>
      </c>
    </row>
    <row r="21">
      <c r="A21" t="inlineStr">
        <is>
          <t>03/2026</t>
        </is>
      </c>
      <c r="B21">
        <f>COUNTIF('Guest Register'!$M$5:$M$10000,"*/3/26 *")+COUNTIF('Guest Register'!$M$5:$M$10000,"*/3/26")+COUNTIF('Guest Register'!$M$5:$M$10000,"*/03/26 *")+COUNTIF('Guest Register'!$M$5:$M$10000,"*/03/26")</f>
        <v/>
      </c>
      <c r="C21">
        <f>B21*50</f>
        <v/>
      </c>
    </row>
    <row r="22">
      <c r="A22" t="inlineStr">
        <is>
          <t>04/2026</t>
        </is>
      </c>
      <c r="B22">
        <f>COUNTIF('Guest Register'!$M$5:$M$10000,"*/4/26 *")+COUNTIF('Guest Register'!$M$5:$M$10000,"*/4/26")+COUNTIF('Guest Register'!$M$5:$M$10000,"*/04/26 *")+COUNTIF('Guest Register'!$M$5:$M$10000,"*/04/26")</f>
        <v/>
      </c>
      <c r="C22">
        <f>B22*50</f>
        <v/>
      </c>
    </row>
    <row r="23">
      <c r="A23" t="inlineStr">
        <is>
          <t>05/2026</t>
        </is>
      </c>
      <c r="B23">
        <f>COUNTIF('Guest Register'!$M$5:$M$10000,"*/5/26 *")+COUNTIF('Guest Register'!$M$5:$M$10000,"*/5/26")+COUNTIF('Guest Register'!$M$5:$M$10000,"*/05/26 *")+COUNTIF('Guest Register'!$M$5:$M$10000,"*/05/26")</f>
        <v/>
      </c>
      <c r="C23">
        <f>B23*50</f>
        <v/>
      </c>
    </row>
    <row r="24">
      <c r="A24" t="inlineStr">
        <is>
          <t>06/2026</t>
        </is>
      </c>
      <c r="B24">
        <f>COUNTIF('Guest Register'!$M$5:$M$10000,"*/6/26 *")+COUNTIF('Guest Register'!$M$5:$M$10000,"*/6/26")+COUNTIF('Guest Register'!$M$5:$M$10000,"*/06/26 *")+COUNTIF('Guest Register'!$M$5:$M$10000,"*/06/26")</f>
        <v/>
      </c>
      <c r="C24">
        <f>B24*50</f>
        <v/>
      </c>
    </row>
    <row r="25">
      <c r="A25" t="inlineStr">
        <is>
          <t>07/2026</t>
        </is>
      </c>
      <c r="B25">
        <f>COUNTIF('Guest Register'!$M$5:$M$10000,"*/7/26 *")+COUNTIF('Guest Register'!$M$5:$M$10000,"*/7/26")+COUNTIF('Guest Register'!$M$5:$M$10000,"*/07/26 *")+COUNTIF('Guest Register'!$M$5:$M$10000,"*/07/26")</f>
        <v/>
      </c>
      <c r="C25">
        <f>B25*50</f>
        <v/>
      </c>
    </row>
    <row r="26">
      <c r="A26" s="45" t="inlineStr">
        <is>
          <t>TOTAL</t>
        </is>
      </c>
      <c r="B26" s="45">
        <f>SUM(B5:B25)</f>
        <v/>
      </c>
      <c r="C26" s="45">
        <f>SUM(C5:C25)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2026-07-09T09:09:08Z</dcterms:created>
  <dcterms:modified xsi:type="dcterms:W3CDTF">2026-07-14T08:38:07Z</dcterms:modified>
  <cp:revision>1</cp:revision>
</cp:coreProperties>
</file>