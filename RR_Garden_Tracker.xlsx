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uest Register" sheetId="2" state="visible" r:id="rId4"/>
    <sheet name="Hisaab Bookings" sheetId="3" state="visible" r:id="rId5"/>
    <sheet name="Monthly Rate Trend" sheetId="4" state="visible" r:id="rId6"/>
    <sheet name="Settlement Notes" sheetId="5" state="visible" r:id="rId7"/>
    <sheet name="Expen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<sst xmlns="http://schemas.openxmlformats.org/spreadsheetml/2006/main" count="246" uniqueCount="164">
  <si>
    <t xml:space="preserve">R.R. Garden Booking &amp; Rate Tracker</t>
  </si>
  <si>
    <t xml:space="preserve">Sheets in this workbook:</t>
  </si>
  <si>
    <t xml:space="preserve">1. Guest Register — every individual booking from the handwritten register (name, ID details, dates, room). Currently loaded: Page 1 of 60 (12 bookings) as a working sample.</t>
  </si>
  <si>
    <t xml:space="preserve">2. Hisaab Bookings — raw room-rate data (date + amount per room booked) from the June-July 2026 diary pages. This is the only rate data found in the scan.</t>
  </si>
  <si>
    <t xml:space="preserve">3. Monthly Rate Trend — auto-calculated average/min/max rate and revenue per month, with a chart. Add more months to 'Hisaab Bookings' and it updates automatically.</t>
  </si>
  <si>
    <t xml:space="preserve">4. Settlement Notes — the income-split scribbles under the June totals (Uncle/Ansh/Malwa/Online/Baki). Meaning is a best guess — please confirm.</t>
  </si>
  <si>
    <t xml:space="preserve">5. Expenses — blank tracker for ongoing costs (repairs, supplies, staff etc.)</t>
  </si>
  <si>
    <t xml:space="preserve">IMPORTANT:</t>
  </si>
  <si>
    <t xml:space="preserve">- Yellow highlighted cells = handwriting was unclear in the scan. Please verify against the physical register before relying on them.</t>
  </si>
  <si>
    <t xml:space="preserve">- The register has ~700+ total bookings across 60 pages — only page 1 is digitized so far. Send more pages (clear, well-lit photos work best) and I'll keep adding rows.</t>
  </si>
  <si>
    <t xml:space="preserve">- Room rates only exist in the June/July diary — older register pages (Aug 2024 onward) record guest ID details but no price, so historical rate trend before May 2026 isn't available unless you have another rate record.</t>
  </si>
  <si>
    <t xml:space="preserve">R.R. Garden — Guest Register</t>
  </si>
  <si>
    <t xml:space="preserve">Digitized from handwritten register (60 pages, ~700+ bookings). Currently loaded: Page 1 (12 bookings) as sample. Yellow cells = unclear in scan, please verify against the physical register. More pages to be added.</t>
  </si>
  <si>
    <t xml:space="preserve">PageNo</t>
  </si>
  <si>
    <t xml:space="preserve">SNo</t>
  </si>
  <si>
    <t xml:space="preserve">GuestName</t>
  </si>
  <si>
    <t xml:space="preserve">Age</t>
  </si>
  <si>
    <t xml:space="preserve">Relationship</t>
  </si>
  <si>
    <t xml:space="preserve">Nationality</t>
  </si>
  <si>
    <t xml:space="preserve">NumPersons</t>
  </si>
  <si>
    <t xml:space="preserve">Address</t>
  </si>
  <si>
    <t xml:space="preserve">Phone</t>
  </si>
  <si>
    <t xml:space="preserve">ComingFrom</t>
  </si>
  <si>
    <t xml:space="preserve">NextDestination</t>
  </si>
  <si>
    <t xml:space="preserve">Purpose</t>
  </si>
  <si>
    <t xml:space="preserve">ArrivalDateTime</t>
  </si>
  <si>
    <t xml:space="preserve">DepartureDateTime</t>
  </si>
  <si>
    <t xml:space="preserve">RoomNo</t>
  </si>
  <si>
    <t xml:space="preserve">Naitik Sharma / Aarti Rajput</t>
  </si>
  <si>
    <t xml:space="preserve">21 / 11</t>
  </si>
  <si>
    <t xml:space="preserve">Friend</t>
  </si>
  <si>
    <t xml:space="preserve">India</t>
  </si>
  <si>
    <t xml:space="preserve">175/2 Sanjay G.N. Naubasti, Gulab Nagar Naubasti, Kanpur</t>
  </si>
  <si>
    <t xml:space="preserve">8229360908</t>
  </si>
  <si>
    <t xml:space="preserve">Kalyanpur</t>
  </si>
  <si>
    <t xml:space="preserve">Visit</t>
  </si>
  <si>
    <t xml:space="preserve">8/11/24 7:20pm</t>
  </si>
  <si>
    <t xml:space="preserve">8/11/24 8:10pm</t>
  </si>
  <si>
    <t xml:space="preserve">Abhay / Anjali</t>
  </si>
  <si>
    <t xml:space="preserve">20 / 22</t>
  </si>
  <si>
    <t xml:space="preserve">429 Bakfuri Purwa, 999 Devidhi Nagar</t>
  </si>
  <si>
    <t xml:space="preserve">9696972862</t>
  </si>
  <si>
    <t xml:space="preserve">Kanpur</t>
  </si>
  <si>
    <t xml:space="preserve">9/11/24 12:35pm</t>
  </si>
  <si>
    <t xml:space="preserve">9/11/24 4:20pm</t>
  </si>
  <si>
    <t xml:space="preserve">Sonu / Stuti</t>
  </si>
  <si>
    <t xml:space="preserve">21 / 20</t>
  </si>
  <si>
    <t xml:space="preserve">Chak Bijay Harishpur, Lal Bagla Kanpur</t>
  </si>
  <si>
    <t xml:space="preserve">6392813154</t>
  </si>
  <si>
    <t xml:space="preserve">9/11/24 3:15pm</t>
  </si>
  <si>
    <t xml:space="preserve">9/11/24 4:19pm</t>
  </si>
  <si>
    <t xml:space="preserve">Annu Tiwari / Ayush Sharma</t>
  </si>
  <si>
    <t xml:space="preserve">VERIFY / 19</t>
  </si>
  <si>
    <t xml:space="preserve">Naubasti Kanpur</t>
  </si>
  <si>
    <t xml:space="preserve">6391189513</t>
  </si>
  <si>
    <t xml:space="preserve">9/11/24 5:28pm</t>
  </si>
  <si>
    <t xml:space="preserve">9/11/24 7:30pm</t>
  </si>
  <si>
    <t xml:space="preserve">Akshat / Roshani</t>
  </si>
  <si>
    <t xml:space="preserve">Dabauli Udyan Kanpur</t>
  </si>
  <si>
    <t xml:space="preserve">7892064742</t>
  </si>
  <si>
    <t xml:space="preserve">12/11/24 1:36pm</t>
  </si>
  <si>
    <t xml:space="preserve">12/11/24 4:30pm</t>
  </si>
  <si>
    <t xml:space="preserve">Ram Prakash / Puja Singh</t>
  </si>
  <si>
    <t xml:space="preserve">VERIFY / 28</t>
  </si>
  <si>
    <t xml:space="preserve">Dada Nagar Kanpur</t>
  </si>
  <si>
    <t xml:space="preserve">9909182961</t>
  </si>
  <si>
    <t xml:space="preserve">12/11/24 2:20pm</t>
  </si>
  <si>
    <t xml:space="preserve">12/11/24 5:30pm</t>
  </si>
  <si>
    <t xml:space="preserve">Ankit Rajput / Puja Soni</t>
  </si>
  <si>
    <t xml:space="preserve">19 / 20</t>
  </si>
  <si>
    <t xml:space="preserve">Kathagar / Naubasti Kanpur</t>
  </si>
  <si>
    <t xml:space="preserve">63866809</t>
  </si>
  <si>
    <t xml:space="preserve">15/11/24 10:48am</t>
  </si>
  <si>
    <t xml:space="preserve">15/11/24 1:28pm</t>
  </si>
  <si>
    <t xml:space="preserve">Vishal Rajput / Preeti</t>
  </si>
  <si>
    <t xml:space="preserve">18 / 21</t>
  </si>
  <si>
    <t xml:space="preserve">Maal Kanpur / Kathagar Kanpur</t>
  </si>
  <si>
    <t xml:space="preserve">6306078691</t>
  </si>
  <si>
    <t xml:space="preserve">15/11/24 1:05pm</t>
  </si>
  <si>
    <t xml:space="preserve">15/11/24 6:10pm</t>
  </si>
  <si>
    <t xml:space="preserve">Shweta / Ankit Singh</t>
  </si>
  <si>
    <t xml:space="preserve">24 / 30</t>
  </si>
  <si>
    <t xml:space="preserve">Gram Berri Kalyanpur / Parsapur Purv Kanpur</t>
  </si>
  <si>
    <t xml:space="preserve">8542845591</t>
  </si>
  <si>
    <t xml:space="preserve">16/11/24 12:41pm</t>
  </si>
  <si>
    <t xml:space="preserve">16/11/24 3:48pm</t>
  </si>
  <si>
    <t xml:space="preserve">Zeeshan / Umran Khatoon</t>
  </si>
  <si>
    <t xml:space="preserve">43 / 38</t>
  </si>
  <si>
    <t xml:space="preserve">Kakadeo / Naubasti Kanpur</t>
  </si>
  <si>
    <t xml:space="preserve">9696911758</t>
  </si>
  <si>
    <t xml:space="preserve">19/11/24 7:15am</t>
  </si>
  <si>
    <t xml:space="preserve">19/11/24 11:30am</t>
  </si>
  <si>
    <t xml:space="preserve">Ankit Kumar / Jyoti Yadav</t>
  </si>
  <si>
    <t xml:space="preserve">28 / 26</t>
  </si>
  <si>
    <t xml:space="preserve">Panki / Kanpur Dehat</t>
  </si>
  <si>
    <t xml:space="preserve">VERIFY</t>
  </si>
  <si>
    <t xml:space="preserve">19/11/24 11:40am</t>
  </si>
  <si>
    <t xml:space="preserve">19/11/24 2:30pm</t>
  </si>
  <si>
    <t xml:space="preserve">18 / 18</t>
  </si>
  <si>
    <t xml:space="preserve">429 Bakchi Purwa / 999 Devidhi Nagar</t>
  </si>
  <si>
    <t xml:space="preserve">20/11/24 10:20am</t>
  </si>
  <si>
    <t xml:space="preserve">20/11/24 4:40pm</t>
  </si>
  <si>
    <t xml:space="preserve">R.R. Garden — Room Rate Ledger (raw bookings, from June–July 2026 diary pages)</t>
  </si>
  <si>
    <t xml:space="preserve">Each row = one room booking on that date. Source: handwritten diary, last 2 pages of scan.</t>
  </si>
  <si>
    <t xml:space="preserve">Date</t>
  </si>
  <si>
    <t xml:space="preserve">Amount</t>
  </si>
  <si>
    <t xml:space="preserve">2026-05-31</t>
  </si>
  <si>
    <t xml:space="preserve">2026-06-01</t>
  </si>
  <si>
    <t xml:space="preserve">2026-06-03</t>
  </si>
  <si>
    <t xml:space="preserve">2026-06-04</t>
  </si>
  <si>
    <t xml:space="preserve">2026-06-05</t>
  </si>
  <si>
    <t xml:space="preserve">2026-06-07</t>
  </si>
  <si>
    <t xml:space="preserve">2026-06-10</t>
  </si>
  <si>
    <t xml:space="preserve">2026-06-13</t>
  </si>
  <si>
    <t xml:space="preserve">2026-06-14</t>
  </si>
  <si>
    <t xml:space="preserve">2026-06-15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</si>
  <si>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</si>
  <si>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</si>
  <si>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</si>
  <si>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</si>
  <si>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</si>
  <si>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</si>
  <si>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</si>
  <si>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2026-06-26</t>
  </si>
  <si>
    <t xml:space="preserve">2026-06-27</t>
  </si>
  <si>
    <t xml:space="preserve">2026-06-28</t>
  </si>
  <si>
    <t xml:space="preserve">2026-06-30</t>
  </si>
  <si>
    <t xml:space="preserve">2026-07-02</t>
  </si>
  <si>
    <t xml:space="preserve">2026-07-03</t>
  </si>
  <si>
    <t xml:space="preserve">2026-07-04</t>
  </si>
  <si>
    <t xml:space="preserve">R.R. Garden — Monthly Room Rate Trend</t>
  </si>
  <si>
    <t xml:space="preserve">Auto-calculated from "Hisaab Bookings" sheet using AVERAGEIFS/COUNTIFS/MIN/MAXIFS. Add new months to Hisaab Bookings and this updates automatically.</t>
  </si>
  <si>
    <t xml:space="preserve">Month</t>
  </si>
  <si>
    <t xml:space="preserve">Bookings</t>
  </si>
  <si>
    <t xml:space="preserve">Avg Rate (Rs)</t>
  </si>
  <si>
    <t xml:space="preserve">Min Rate (Rs)</t>
  </si>
  <si>
    <t xml:space="preserve">Max Rate (Rs)</t>
  </si>
  <si>
    <t xml:space="preserve">Total Revenue (Rs)</t>
  </si>
  <si>
    <t xml:space="preserve">May 2026</t>
  </si>
  <si>
    <t xml:space="preserve">June 2026</t>
  </si>
  <si>
    <t xml:space="preserve">July 2026</t>
  </si>
  <si>
    <t xml:space="preserve">All-time (loaded data)</t>
  </si>
  <si>
    <t xml:space="preserve">R.R. Garden — Income Split / Settlement Notes (from diary)</t>
  </si>
  <si>
    <t xml:space="preserve">These are running settlement notes found under the June/July totals — meaning not 100% certain, please confirm. Likely a split of room income between people (Uncle, Ansh, Malwa) plus online vs cash tracking and balance due.</t>
  </si>
  <si>
    <t xml:space="preserve">June (first half, 31 May – 14 Jun)</t>
  </si>
  <si>
    <t xml:space="preserve">Total</t>
  </si>
  <si>
    <t xml:space="preserve">Uncle</t>
  </si>
  <si>
    <t xml:space="preserve">Ansh</t>
  </si>
  <si>
    <t xml:space="preserve">Malwa</t>
  </si>
  <si>
    <t xml:space="preserve">Online</t>
  </si>
  <si>
    <t xml:space="preserve">Baki hai (balance due)</t>
  </si>
  <si>
    <t xml:space="preserve">June (second half, 15–30 Jun)</t>
  </si>
  <si>
    <t xml:space="preserve">Uncle+Ansh</t>
  </si>
  <si>
    <t xml:space="preserve">VERIFY (unclear label)</t>
  </si>
  <si>
    <t xml:space="preserve">Dena hai (to be paid)</t>
  </si>
  <si>
    <t xml:space="preserve">Baki (balance due)</t>
  </si>
  <si>
    <t xml:space="preserve">Total settlement</t>
  </si>
  <si>
    <t xml:space="preserve">R.R. Garden — Expenses Tracker</t>
  </si>
  <si>
    <t xml:space="preserve">Log ongoing expenses here (repairs, supplies, staff, electricity, etc.) to net against booking revenue.</t>
  </si>
  <si>
    <t xml:space="preserve">Category</t>
  </si>
  <si>
    <t xml:space="preserve">Description</t>
  </si>
  <si>
    <t xml:space="preserve">Amount (Rs)</t>
  </si>
  <si>
    <t xml:space="preserve">Paid By</t>
  </si>
  <si>
    <t xml:space="preserve">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</si>
</sst>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Room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Rate Trend'!C4</c:f>
              <c:strCache>
                <c:ptCount val="1"/>
                <c:pt idx="0">
                  <c:v>Avg Rate (Rs)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Rate Trend'!$A$5:$A$7</c:f>
              <c:strCache>
                <c:ptCount val="3"/>
                <c:pt idx="0">
                  <c:v>May 2026</c:v>
                </c:pt>
                <c:pt idx="1">
                  <c:v>June 2026</c:v>
                </c:pt>
                <c:pt idx="2">
                  <c:v>July 2026</c:v>
                </c:pt>
              </c:strCache>
            </c:strRef>
          </c:cat>
          <c:val>
            <c:numRef>
              <c:f>'Monthly Rate Trend'!$C$5:$C$7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29096"/>
        <c:axId val="93101602"/>
      </c:lineChart>
      <c:catAx>
        <c:axId val="15629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01602"/>
        <c:crosses val="autoZero"/>
        <c:auto val="1"/>
        <c:lblAlgn val="ctr"/>
        <c:lblOffset val="100"/>
        <c:noMultiLvlLbl val="0"/>
      </c:catAx>
      <c:valAx>
        <c:axId val="93101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29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176040</xdr:rowOff>
    </xdr:from>
    <xdr:to>
      <xdr:col>5</xdr:col>
      <xdr:colOff>1037160</xdr:colOff>
      <xdr:row>26</xdr:row>
      <xdr:rowOff>177120</xdr:rowOff>
    </xdr:to>
    <xdr:graphicFrame>
      <xdr:nvGraphicFramePr>
        <xdr:cNvPr id="0" name="Chart 1"/>
        <xdr:cNvGraphicFramePr/>
      </xdr:nvGraphicFramePr>
      <xdr:xfrm>
        <a:off x="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8" hidden="false" customHeight="true" outlineLevel="0" collapsed="false">
      <c r="A4" s="2" t="s">
        <v>2</v>
      </c>
    </row>
    <row r="5" customFormat="false" ht="18" hidden="false" customHeight="true" outlineLevel="0" collapsed="false">
      <c r="A5" s="2" t="s">
        <v>3</v>
      </c>
    </row>
    <row r="6" customFormat="false" ht="18" hidden="false" customHeight="true" outlineLevel="0" collapsed="false">
      <c r="A6" s="2" t="s">
        <v>4</v>
      </c>
    </row>
    <row r="7" customFormat="false" ht="18" hidden="false" customHeight="true" outlineLevel="0" collapsed="false">
      <c r="A7" s="2" t="s">
        <v>5</v>
      </c>
    </row>
    <row r="8" customFormat="false" ht="18" hidden="false" customHeight="true" outlineLevel="0" collapsed="false">
      <c r="A8" s="2" t="s">
        <v>6</v>
      </c>
    </row>
    <row r="9" customFormat="false" ht="18" hidden="false" customHeight="true" outlineLevel="0" collapsed="false">
      <c r="A9" s="2"/>
    </row>
    <row r="10" customFormat="false" ht="18" hidden="false" customHeight="true" outlineLevel="0" collapsed="false">
      <c r="A10" s="2" t="s">
        <v>7</v>
      </c>
    </row>
    <row r="11" customFormat="false" ht="18" hidden="false" customHeight="true" outlineLevel="0" collapsed="false">
      <c r="A11" s="2" t="s">
        <v>8</v>
      </c>
    </row>
    <row r="12" customFormat="false" ht="18" hidden="false" customHeight="true" outlineLevel="0" collapsed="false">
      <c r="A12" s="2" t="s">
        <v>9</v>
      </c>
    </row>
    <row r="13" customFormat="false" ht="18" hidden="false" customHeight="tru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9"/>
    <col collapsed="false" customWidth="true" hidden="false" outlineLevel="0" max="14" min="13" style="0" width="16"/>
    <col collapsed="false" customWidth="true" hidden="false" outlineLevel="0" max="15" min="15" style="0" width="8"/>
  </cols>
  <sheetData>
    <row r="1" customFormat="false" ht="16.15" hidden="false" customHeight="false" outlineLevel="0" collapsed="false">
      <c r="A1" s="4" t="s">
        <v>11</v>
      </c>
    </row>
    <row r="2" customFormat="false" ht="15" hidden="false" customHeight="false" outlineLevel="0" collapsed="false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customFormat="false" ht="23.8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27</v>
      </c>
    </row>
    <row r="5" customFormat="false" ht="15" hidden="false" customHeight="false" outlineLevel="0" collapsed="false">
      <c r="A5" s="7" t="n">
        <v>1</v>
      </c>
      <c r="B5" s="7" t="n">
        <v>1</v>
      </c>
      <c r="C5" s="7" t="s">
        <v>28</v>
      </c>
      <c r="D5" s="7" t="s">
        <v>29</v>
      </c>
      <c r="E5" s="7" t="s">
        <v>30</v>
      </c>
      <c r="F5" s="7" t="s">
        <v>31</v>
      </c>
      <c r="G5" s="7" t="n">
        <v>2</v>
      </c>
      <c r="H5" s="7" t="s">
        <v>32</v>
      </c>
      <c r="I5" s="7" t="s">
        <v>33</v>
      </c>
      <c r="J5" s="7" t="s">
        <v>34</v>
      </c>
      <c r="K5" s="7" t="s">
        <v>34</v>
      </c>
      <c r="L5" s="7" t="s">
        <v>35</v>
      </c>
      <c r="M5" s="7" t="s">
        <v>36</v>
      </c>
      <c r="N5" s="7" t="s">
        <v>37</v>
      </c>
      <c r="O5" s="7" t="n">
        <v>201</v>
      </c>
    </row>
    <row r="6" customFormat="false" ht="15" hidden="false" customHeight="false" outlineLevel="0" collapsed="false">
      <c r="A6" s="7" t="n">
        <v>1</v>
      </c>
      <c r="B6" s="7" t="n">
        <v>2</v>
      </c>
      <c r="C6" s="7" t="s">
        <v>38</v>
      </c>
      <c r="D6" s="7" t="s">
        <v>39</v>
      </c>
      <c r="E6" s="7" t="s">
        <v>30</v>
      </c>
      <c r="F6" s="7" t="s">
        <v>31</v>
      </c>
      <c r="G6" s="7" t="n">
        <v>2</v>
      </c>
      <c r="H6" s="7" t="s">
        <v>40</v>
      </c>
      <c r="I6" s="7" t="s">
        <v>41</v>
      </c>
      <c r="J6" s="7" t="s">
        <v>42</v>
      </c>
      <c r="K6" s="7" t="s">
        <v>42</v>
      </c>
      <c r="L6" s="7" t="s">
        <v>35</v>
      </c>
      <c r="M6" s="7" t="s">
        <v>43</v>
      </c>
      <c r="N6" s="7" t="s">
        <v>44</v>
      </c>
      <c r="O6" s="7" t="n">
        <v>201</v>
      </c>
    </row>
    <row r="7" customFormat="false" ht="15" hidden="false" customHeight="false" outlineLevel="0" collapsed="false">
      <c r="A7" s="7" t="n">
        <v>1</v>
      </c>
      <c r="B7" s="7" t="n">
        <v>3</v>
      </c>
      <c r="C7" s="7" t="s">
        <v>45</v>
      </c>
      <c r="D7" s="7" t="s">
        <v>46</v>
      </c>
      <c r="E7" s="7" t="s">
        <v>30</v>
      </c>
      <c r="F7" s="7" t="s">
        <v>31</v>
      </c>
      <c r="G7" s="7" t="n">
        <v>2</v>
      </c>
      <c r="H7" s="7" t="s">
        <v>47</v>
      </c>
      <c r="I7" s="7" t="s">
        <v>48</v>
      </c>
      <c r="J7" s="7" t="s">
        <v>42</v>
      </c>
      <c r="K7" s="7" t="s">
        <v>42</v>
      </c>
      <c r="L7" s="7" t="s">
        <v>35</v>
      </c>
      <c r="M7" s="7" t="s">
        <v>49</v>
      </c>
      <c r="N7" s="7" t="s">
        <v>50</v>
      </c>
      <c r="O7" s="7" t="n">
        <v>202</v>
      </c>
    </row>
    <row r="8" customFormat="false" ht="15" hidden="false" customHeight="false" outlineLevel="0" collapsed="false">
      <c r="A8" s="7" t="n">
        <v>1</v>
      </c>
      <c r="B8" s="7" t="n">
        <v>4</v>
      </c>
      <c r="C8" s="7" t="s">
        <v>51</v>
      </c>
      <c r="D8" s="7" t="s">
        <v>52</v>
      </c>
      <c r="E8" s="7" t="s">
        <v>30</v>
      </c>
      <c r="F8" s="7" t="s">
        <v>31</v>
      </c>
      <c r="G8" s="7" t="n">
        <v>2</v>
      </c>
      <c r="H8" s="7" t="s">
        <v>53</v>
      </c>
      <c r="I8" s="7" t="s">
        <v>54</v>
      </c>
      <c r="J8" s="7" t="s">
        <v>42</v>
      </c>
      <c r="K8" s="7" t="s">
        <v>42</v>
      </c>
      <c r="L8" s="7" t="s">
        <v>35</v>
      </c>
      <c r="M8" s="7" t="s">
        <v>55</v>
      </c>
      <c r="N8" s="7" t="s">
        <v>56</v>
      </c>
      <c r="O8" s="7" t="n">
        <v>202</v>
      </c>
    </row>
    <row r="9" customFormat="false" ht="15" hidden="false" customHeight="false" outlineLevel="0" collapsed="false">
      <c r="A9" s="7" t="n">
        <v>1</v>
      </c>
      <c r="B9" s="7" t="n">
        <v>5</v>
      </c>
      <c r="C9" s="7" t="s">
        <v>57</v>
      </c>
      <c r="D9" s="7" t="s">
        <v>39</v>
      </c>
      <c r="E9" s="7" t="s">
        <v>30</v>
      </c>
      <c r="F9" s="7" t="s">
        <v>31</v>
      </c>
      <c r="G9" s="7" t="n">
        <v>2</v>
      </c>
      <c r="H9" s="7" t="s">
        <v>58</v>
      </c>
      <c r="I9" s="7" t="s">
        <v>59</v>
      </c>
      <c r="J9" s="7" t="s">
        <v>42</v>
      </c>
      <c r="K9" s="7" t="s">
        <v>42</v>
      </c>
      <c r="L9" s="7" t="s">
        <v>35</v>
      </c>
      <c r="M9" s="7" t="s">
        <v>60</v>
      </c>
      <c r="N9" s="7" t="s">
        <v>61</v>
      </c>
      <c r="O9" s="7" t="n">
        <v>201</v>
      </c>
    </row>
    <row r="10" customFormat="false" ht="15" hidden="false" customHeight="false" outlineLevel="0" collapsed="false">
      <c r="A10" s="7" t="n">
        <v>1</v>
      </c>
      <c r="B10" s="7" t="n">
        <v>6</v>
      </c>
      <c r="C10" s="7" t="s">
        <v>62</v>
      </c>
      <c r="D10" s="7" t="s">
        <v>63</v>
      </c>
      <c r="E10" s="7" t="s">
        <v>30</v>
      </c>
      <c r="F10" s="7" t="s">
        <v>31</v>
      </c>
      <c r="G10" s="7" t="n">
        <v>2</v>
      </c>
      <c r="H10" s="7" t="s">
        <v>64</v>
      </c>
      <c r="I10" s="7" t="s">
        <v>65</v>
      </c>
      <c r="J10" s="7" t="s">
        <v>42</v>
      </c>
      <c r="K10" s="7" t="s">
        <v>42</v>
      </c>
      <c r="L10" s="7" t="s">
        <v>35</v>
      </c>
      <c r="M10" s="7" t="s">
        <v>66</v>
      </c>
      <c r="N10" s="7" t="s">
        <v>67</v>
      </c>
      <c r="O10" s="7" t="n">
        <v>202</v>
      </c>
    </row>
    <row r="11" customFormat="false" ht="15" hidden="false" customHeight="false" outlineLevel="0" collapsed="false">
      <c r="A11" s="7" t="n">
        <v>1</v>
      </c>
      <c r="B11" s="7" t="n">
        <v>7</v>
      </c>
      <c r="C11" s="7" t="s">
        <v>68</v>
      </c>
      <c r="D11" s="7" t="s">
        <v>69</v>
      </c>
      <c r="E11" s="7" t="s">
        <v>30</v>
      </c>
      <c r="F11" s="7" t="s">
        <v>31</v>
      </c>
      <c r="G11" s="7" t="n">
        <v>2</v>
      </c>
      <c r="H11" s="7" t="s">
        <v>70</v>
      </c>
      <c r="I11" s="7" t="s">
        <v>71</v>
      </c>
      <c r="J11" s="7" t="s">
        <v>42</v>
      </c>
      <c r="K11" s="7" t="s">
        <v>42</v>
      </c>
      <c r="L11" s="7" t="s">
        <v>35</v>
      </c>
      <c r="M11" s="7" t="s">
        <v>72</v>
      </c>
      <c r="N11" s="7" t="s">
        <v>73</v>
      </c>
      <c r="O11" s="7" t="n">
        <v>202</v>
      </c>
    </row>
    <row r="12" customFormat="false" ht="15" hidden="false" customHeight="false" outlineLevel="0" collapsed="false">
      <c r="A12" s="7" t="n">
        <v>1</v>
      </c>
      <c r="B12" s="7" t="n">
        <v>8</v>
      </c>
      <c r="C12" s="7" t="s">
        <v>74</v>
      </c>
      <c r="D12" s="7" t="s">
        <v>75</v>
      </c>
      <c r="E12" s="7" t="s">
        <v>30</v>
      </c>
      <c r="F12" s="7" t="s">
        <v>31</v>
      </c>
      <c r="G12" s="7" t="n">
        <v>2</v>
      </c>
      <c r="H12" s="7" t="s">
        <v>76</v>
      </c>
      <c r="I12" s="7" t="s">
        <v>77</v>
      </c>
      <c r="J12" s="7" t="s">
        <v>42</v>
      </c>
      <c r="K12" s="7" t="s">
        <v>42</v>
      </c>
      <c r="L12" s="7" t="s">
        <v>35</v>
      </c>
      <c r="M12" s="7" t="s">
        <v>78</v>
      </c>
      <c r="N12" s="7" t="s">
        <v>79</v>
      </c>
      <c r="O12" s="7" t="n">
        <v>203</v>
      </c>
    </row>
    <row r="13" customFormat="false" ht="15" hidden="false" customHeight="false" outlineLevel="0" collapsed="false">
      <c r="A13" s="7" t="n">
        <v>1</v>
      </c>
      <c r="B13" s="7" t="n">
        <v>9</v>
      </c>
      <c r="C13" s="7" t="s">
        <v>80</v>
      </c>
      <c r="D13" s="7" t="s">
        <v>81</v>
      </c>
      <c r="E13" s="7" t="s">
        <v>30</v>
      </c>
      <c r="F13" s="7" t="s">
        <v>31</v>
      </c>
      <c r="G13" s="7" t="n">
        <v>2</v>
      </c>
      <c r="H13" s="7" t="s">
        <v>82</v>
      </c>
      <c r="I13" s="7" t="s">
        <v>83</v>
      </c>
      <c r="J13" s="7" t="s">
        <v>42</v>
      </c>
      <c r="K13" s="7" t="s">
        <v>42</v>
      </c>
      <c r="L13" s="7" t="s">
        <v>35</v>
      </c>
      <c r="M13" s="7" t="s">
        <v>84</v>
      </c>
      <c r="N13" s="7" t="s">
        <v>85</v>
      </c>
      <c r="O13" s="7" t="n">
        <v>201</v>
      </c>
    </row>
    <row r="14" customFormat="false" ht="15" hidden="false" customHeight="false" outlineLevel="0" collapsed="false">
      <c r="A14" s="7" t="n">
        <v>1</v>
      </c>
      <c r="B14" s="7" t="n">
        <v>10</v>
      </c>
      <c r="C14" s="7" t="s">
        <v>86</v>
      </c>
      <c r="D14" s="7" t="s">
        <v>87</v>
      </c>
      <c r="E14" s="7" t="s">
        <v>30</v>
      </c>
      <c r="F14" s="7" t="s">
        <v>31</v>
      </c>
      <c r="G14" s="7" t="n">
        <v>2</v>
      </c>
      <c r="H14" s="7" t="s">
        <v>88</v>
      </c>
      <c r="I14" s="7" t="s">
        <v>89</v>
      </c>
      <c r="J14" s="7" t="s">
        <v>42</v>
      </c>
      <c r="K14" s="7" t="s">
        <v>42</v>
      </c>
      <c r="L14" s="7" t="s">
        <v>35</v>
      </c>
      <c r="M14" s="7" t="s">
        <v>90</v>
      </c>
      <c r="N14" s="7" t="s">
        <v>91</v>
      </c>
      <c r="O14" s="7" t="n">
        <v>201</v>
      </c>
    </row>
    <row r="15" customFormat="false" ht="15" hidden="false" customHeight="false" outlineLevel="0" collapsed="false">
      <c r="A15" s="7" t="n">
        <v>1</v>
      </c>
      <c r="B15" s="7" t="n">
        <v>11</v>
      </c>
      <c r="C15" s="7" t="s">
        <v>92</v>
      </c>
      <c r="D15" s="7" t="s">
        <v>93</v>
      </c>
      <c r="E15" s="7" t="s">
        <v>30</v>
      </c>
      <c r="F15" s="7" t="s">
        <v>31</v>
      </c>
      <c r="G15" s="7" t="n">
        <v>2</v>
      </c>
      <c r="H15" s="7" t="s">
        <v>94</v>
      </c>
      <c r="I15" s="8" t="s">
        <v>95</v>
      </c>
      <c r="J15" s="7" t="s">
        <v>42</v>
      </c>
      <c r="K15" s="7" t="s">
        <v>42</v>
      </c>
      <c r="L15" s="7" t="s">
        <v>35</v>
      </c>
      <c r="M15" s="7" t="s">
        <v>96</v>
      </c>
      <c r="N15" s="7" t="s">
        <v>97</v>
      </c>
      <c r="O15" s="7" t="n">
        <v>202</v>
      </c>
    </row>
    <row r="16" customFormat="false" ht="15" hidden="false" customHeight="false" outlineLevel="0" collapsed="false">
      <c r="A16" s="7" t="n">
        <v>1</v>
      </c>
      <c r="B16" s="7" t="n">
        <v>12</v>
      </c>
      <c r="C16" s="7" t="s">
        <v>38</v>
      </c>
      <c r="D16" s="7" t="s">
        <v>98</v>
      </c>
      <c r="E16" s="7" t="s">
        <v>30</v>
      </c>
      <c r="F16" s="7" t="s">
        <v>31</v>
      </c>
      <c r="G16" s="7" t="n">
        <v>2</v>
      </c>
      <c r="H16" s="7" t="s">
        <v>99</v>
      </c>
      <c r="I16" s="7" t="s">
        <v>41</v>
      </c>
      <c r="J16" s="7" t="s">
        <v>42</v>
      </c>
      <c r="K16" s="7" t="s">
        <v>42</v>
      </c>
      <c r="L16" s="7" t="s">
        <v>35</v>
      </c>
      <c r="M16" s="7" t="s">
        <v>100</v>
      </c>
      <c r="N16" s="7" t="s">
        <v>101</v>
      </c>
      <c r="O16" s="7" t="n">
        <v>201</v>
      </c>
    </row>
  </sheetData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4" t="s">
        <v>102</v>
      </c>
    </row>
    <row r="2" customFormat="false" ht="15" hidden="false" customHeight="false" outlineLevel="0" collapsed="false">
      <c r="A2" s="9" t="s">
        <v>103</v>
      </c>
    </row>
    <row r="4" customFormat="false" ht="15" hidden="false" customHeight="false" outlineLevel="0" collapsed="false">
      <c r="A4" s="6" t="s">
        <v>104</v>
      </c>
      <c r="B4" s="6" t="s">
        <v>105</v>
      </c>
    </row>
    <row r="5" customFormat="false" ht="15" hidden="false" customHeight="false" outlineLevel="0" collapsed="false">
      <c r="A5" s="10" t="s">
        <v>106</v>
      </c>
      <c r="B5" s="11" t="n">
        <v>800</v>
      </c>
    </row>
    <row r="6" customFormat="false" ht="15" hidden="false" customHeight="false" outlineLevel="0" collapsed="false">
      <c r="A6" s="10" t="s">
        <v>107</v>
      </c>
      <c r="B6" s="11" t="n">
        <v>800</v>
      </c>
    </row>
    <row r="7" customFormat="false" ht="15" hidden="false" customHeight="false" outlineLevel="0" collapsed="false">
      <c r="A7" s="10" t="s">
        <v>108</v>
      </c>
      <c r="B7" s="11" t="n">
        <v>600</v>
      </c>
    </row>
    <row r="8" customFormat="false" ht="15" hidden="false" customHeight="false" outlineLevel="0" collapsed="false">
      <c r="A8" s="10" t="s">
        <v>109</v>
      </c>
      <c r="B8" s="11" t="n">
        <v>600</v>
      </c>
    </row>
    <row r="9" customFormat="false" ht="15" hidden="false" customHeight="false" outlineLevel="0" collapsed="false">
      <c r="A9" s="10" t="s">
        <v>110</v>
      </c>
      <c r="B9" s="11" t="n">
        <v>500</v>
      </c>
    </row>
    <row r="10" customFormat="false" ht="15" hidden="false" customHeight="false" outlineLevel="0" collapsed="false">
      <c r="A10" s="10" t="s">
        <v>110</v>
      </c>
      <c r="B10" s="11" t="n">
        <v>500</v>
      </c>
    </row>
    <row r="11" customFormat="false" ht="15" hidden="false" customHeight="false" outlineLevel="0" collapsed="false">
      <c r="A11" s="10" t="s">
        <v>111</v>
      </c>
      <c r="B11" s="11" t="n">
        <v>650</v>
      </c>
    </row>
    <row r="12" customFormat="false" ht="15" hidden="false" customHeight="false" outlineLevel="0" collapsed="false">
      <c r="A12" s="10" t="s">
        <v>111</v>
      </c>
      <c r="B12" s="11" t="n">
        <v>630</v>
      </c>
    </row>
    <row r="13" customFormat="false" ht="15" hidden="false" customHeight="false" outlineLevel="0" collapsed="false">
      <c r="A13" s="10" t="s">
        <v>111</v>
      </c>
      <c r="B13" s="11" t="n">
        <v>600</v>
      </c>
    </row>
    <row r="14" customFormat="false" ht="15" hidden="false" customHeight="false" outlineLevel="0" collapsed="false">
      <c r="A14" s="10" t="s">
        <v>111</v>
      </c>
      <c r="B14" s="11" t="n">
        <v>600</v>
      </c>
    </row>
    <row r="15" customFormat="false" ht="15" hidden="false" customHeight="false" outlineLevel="0" collapsed="false">
      <c r="A15" s="10" t="s">
        <v>112</v>
      </c>
      <c r="B15" s="11" t="n">
        <v>600</v>
      </c>
    </row>
    <row r="16" customFormat="false" ht="15" hidden="false" customHeight="false" outlineLevel="0" collapsed="false">
      <c r="A16" s="10" t="s">
        <v>113</v>
      </c>
      <c r="B16" s="11" t="n">
        <v>530</v>
      </c>
    </row>
    <row r="17" customFormat="false" ht="15" hidden="false" customHeight="false" outlineLevel="0" collapsed="false">
      <c r="A17" s="10" t="s">
        <v>113</v>
      </c>
      <c r="B17" s="11" t="n">
        <v>520</v>
      </c>
    </row>
    <row r="18" customFormat="false" ht="15" hidden="false" customHeight="false" outlineLevel="0" collapsed="false">
      <c r="A18" s="10" t="s">
        <v>113</v>
      </c>
      <c r="B18" s="11" t="n">
        <v>600</v>
      </c>
    </row>
    <row r="19" customFormat="false" ht="15" hidden="false" customHeight="false" outlineLevel="0" collapsed="false">
      <c r="A19" s="10" t="s">
        <v>113</v>
      </c>
      <c r="B19" s="11" t="n">
        <v>600</v>
      </c>
    </row>
    <row r="20" customFormat="false" ht="15" hidden="false" customHeight="false" outlineLevel="0" collapsed="false">
      <c r="A20" s="10" t="s">
        <v>114</v>
      </c>
      <c r="B20" s="11" t="n">
        <v>700</v>
      </c>
    </row>
    <row r="21" customFormat="false" ht="15" hidden="false" customHeight="false" outlineLevel="0" collapsed="false">
      <c r="A21" s="10" t="s">
        <v>114</v>
      </c>
      <c r="B21" s="11" t="n">
        <v>600</v>
      </c>
    </row>
    <row r="22" customFormat="false" ht="15" hidden="false" customHeight="false" outlineLevel="0" collapsed="false">
      <c r="A22" s="10" t="s">
        <v>114</v>
      </c>
      <c r="B22" s="11" t="n">
        <v>500</v>
      </c>
    </row>
    <row r="23" customFormat="false" ht="15" hidden="false" customHeight="false" outlineLevel="0" collapsed="false">
      <c r="A23" s="10" t="s">
        <v>115</v>
      </c>
      <c r="B23" s="11" t="n">
        <v>600</v>
      </c>
    </row>
    <row r="24" customFormat="false" ht="15" hidden="false" customHeight="false" outlineLevel="0" collapsed="false">
      <c r="A24" s="10" t="s">
        <v>115</v>
      </c>
      <c r="B24" s="11" t="n">
        <v>600</v>
      </c>
    </row>
    <row r="25" customFormat="false" ht="15" hidden="false" customHeight="false" outlineLevel="0" collapsed="false">
      <c r="A25" s="10" t="s">
        <v>115</v>
      </c>
      <c r="B25" s="11" t="n">
        <v>700</v>
      </c>
    </row>
    <row r="26" customFormat="false" ht="15" hidden="false" customHeight="false" outlineLevel="0" collapsed="false">
      <c r="A26" s="10" t="s">
        <v>116</v>
      </c>
      <c r="B26" s="11" t="n">
        <v>500</v>
      </c>
    </row>
    <row r="27" customFormat="false" ht="15" hidden="false" customHeight="false" outlineLevel="0" collapsed="false">
      <c r="A27" s="10" t="s">
        <v>116</v>
      </c>
      <c r="B27" s="11" t="n">
        <v>500</v>
      </c>
    </row>
    <row r="28" customFormat="false" ht="15" hidden="false" customHeight="false" outlineLevel="0" collapsed="false">
      <c r="A28" s="10" t="s">
        <v>117</v>
      </c>
      <c r="B28" s="11" t="n">
        <v>500</v>
      </c>
    </row>
    <row r="29" customFormat="false" ht="15" hidden="false" customHeight="false" outlineLevel="0" collapsed="false">
      <c r="A29" s="10" t="s">
        <v>118</v>
      </c>
      <c r="B29" s="11" t="n">
        <v>500</v>
      </c>
    </row>
    <row r="30" customFormat="false" ht="15" hidden="false" customHeight="false" outlineLevel="0" collapsed="false">
      <c r="A30" s="10" t="s">
        <v>119</v>
      </c>
      <c r="B30" s="11" t="n">
        <v>700</v>
      </c>
    </row>
    <row r="31" customFormat="false" ht="15" hidden="false" customHeight="false" outlineLevel="0" collapsed="false">
      <c r="A31" s="10" t="s">
        <v>119</v>
      </c>
      <c r="B31" s="11" t="n">
        <v>300</v>
      </c>
    </row>
    <row r="32" customFormat="false" ht="15" hidden="false" customHeight="false" outlineLevel="0" collapsed="false">
      <c r="A32" s="10" t="s">
        <v>120</v>
      </c>
      <c r="B32" s="11" t="n">
        <v>600</v>
      </c>
    </row>
    <row r="33" customFormat="false" ht="15" hidden="false" customHeight="false" outlineLevel="0" collapsed="false">
      <c r="A33" s="10" t="s">
        <v>120</v>
      </c>
      <c r="B33" s="11" t="n">
        <v>600</v>
      </c>
    </row>
    <row r="34" customFormat="false" ht="15" hidden="false" customHeight="false" outlineLevel="0" collapsed="false">
      <c r="A34" s="10" t="s">
        <v>120</v>
      </c>
      <c r="B34" s="11" t="n">
        <v>500</v>
      </c>
    </row>
    <row r="35" customFormat="false" ht="15" hidden="false" customHeight="false" outlineLevel="0" collapsed="false">
      <c r="A35" s="10" t="s">
        <v>121</v>
      </c>
      <c r="B35" s="11" t="n">
        <v>600</v>
      </c>
    </row>
    <row r="36" customFormat="false" ht="15" hidden="false" customHeight="false" outlineLevel="0" collapsed="false">
      <c r="A36" s="10" t="s">
        <v>122</v>
      </c>
      <c r="B36" s="11" t="n">
        <v>600</v>
      </c>
    </row>
    <row r="37" customFormat="false" ht="15" hidden="false" customHeight="false" outlineLevel="0" collapsed="false">
      <c r="A37" s="10" t="s">
        <v>123</v>
      </c>
      <c r="B37" s="11" t="n">
        <v>500</v>
      </c>
    </row>
    <row r="38" customFormat="false" ht="15" hidden="false" customHeight="false" outlineLevel="0" collapsed="false">
      <c r="A38" s="10" t="s">
        <v>123</v>
      </c>
      <c r="B38" s="11" t="n">
        <v>730</v>
      </c>
    </row>
    <row r="39" customFormat="false" ht="15" hidden="false" customHeight="false" outlineLevel="0" collapsed="false">
      <c r="A39" s="10" t="s">
        <v>124</v>
      </c>
      <c r="B39" s="11" t="n">
        <v>500</v>
      </c>
    </row>
    <row r="40" customFormat="false" ht="15" hidden="false" customHeight="false" outlineLevel="0" collapsed="false">
      <c r="A40" s="10" t="s">
        <v>124</v>
      </c>
      <c r="B40" s="11" t="n">
        <v>600</v>
      </c>
    </row>
    <row r="41" customFormat="false" ht="15" hidden="false" customHeight="false" outlineLevel="0" collapsed="false">
      <c r="A41" s="10" t="s">
        <v>124</v>
      </c>
      <c r="B41" s="11" t="n">
        <v>500</v>
      </c>
    </row>
    <row r="42" customFormat="false" ht="15" hidden="false" customHeight="false" outlineLevel="0" collapsed="false">
      <c r="A42" s="10" t="s">
        <v>125</v>
      </c>
      <c r="B42" s="11" t="n">
        <v>600</v>
      </c>
    </row>
    <row r="43" customFormat="false" ht="15" hidden="false" customHeight="false" outlineLevel="0" collapsed="false">
      <c r="A43" s="10" t="s">
        <v>126</v>
      </c>
      <c r="B43" s="11" t="n">
        <v>600</v>
      </c>
    </row>
    <row r="44" customFormat="false" ht="15" hidden="false" customHeight="false" outlineLevel="0" collapsed="false">
      <c r="A44" s="10" t="s">
        <v>127</v>
      </c>
      <c r="B44" s="11" t="n">
        <v>600</v>
      </c>
    </row>
    <row r="45" customFormat="false" ht="15" hidden="false" customHeight="false" outlineLevel="0" collapsed="false">
      <c r="A45" s="10" t="s">
        <v>128</v>
      </c>
      <c r="B45" s="11" t="n">
        <v>800</v>
      </c>
    </row>
    <row r="46" customFormat="false" ht="15" hidden="false" customHeight="false" outlineLevel="0" collapsed="false">
      <c r="A46" s="10" t="s">
        <v>128</v>
      </c>
      <c r="B46" s="11" t="n">
        <v>500</v>
      </c>
    </row>
    <row r="47" customFormat="false" ht="15" hidden="false" customHeight="false" outlineLevel="0" collapsed="false">
      <c r="A47" s="10" t="s">
        <v>129</v>
      </c>
      <c r="B47" s="11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7"/>
  </cols>
  <sheetData>
    <row r="1" customFormat="false" ht="16.15" hidden="false" customHeight="false" outlineLevel="0" collapsed="false">
      <c r="A1" s="4" t="s">
        <v>130</v>
      </c>
    </row>
    <row r="2" customFormat="false" ht="15" hidden="false" customHeight="false" outlineLevel="0" collapsed="false">
      <c r="A2" s="5" t="s">
        <v>131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132</v>
      </c>
      <c r="B4" s="6" t="s">
        <v>133</v>
      </c>
      <c r="C4" s="6" t="s">
        <v>134</v>
      </c>
      <c r="D4" s="6" t="s">
        <v>135</v>
      </c>
      <c r="E4" s="6" t="s">
        <v>136</v>
      </c>
      <c r="F4" s="6" t="s">
        <v>137</v>
      </c>
    </row>
    <row r="5" customFormat="false" ht="15" hidden="false" customHeight="false" outlineLevel="0" collapsed="false">
      <c r="A5" s="12" t="s">
        <v>138</v>
      </c>
      <c r="B5" s="12" t="n">
        <f aca="false">COUNTIFS('Hisaab Bookings'!$A$5:$A$47,"&gt;="&amp;DATE(2026,5,1),'Hisaab Bookings'!$A$5:$A$47,"&lt;="&amp;DATE(2026,5,31))</f>
        <v>0</v>
      </c>
      <c r="C5" s="13" t="n">
        <f aca="false">IFERROR(AVERAGEIFS('Hisaab Bookings'!$B$5:$B$47,'Hisaab Bookings'!$A$5:$A$47,"&gt;="&amp;DATE(2026,5,1),'Hisaab Bookings'!$A$5:$A$47,"&lt;="&amp;DATE(2026,5,31)),0)</f>
        <v>0</v>
      </c>
      <c r="D5" s="13" t="n">
        <f aca="false">IFERROR(minifs('Hisaab Bookings'!$B$5:$B$47,'Hisaab Bookings'!$A$5:$A$47,"&gt;="&amp;DATE(2026,5,1),'Hisaab Bookings'!$A$5:$A$47,"&lt;="&amp;DATE(2026,5,31)),0)</f>
        <v>0</v>
      </c>
      <c r="E5" s="13" t="n">
        <f aca="false">IFERROR(maxifs('Hisaab Bookings'!$B$5:$B$47,'Hisaab Bookings'!$A$5:$A$47,"&gt;="&amp;DATE(2026,5,1),'Hisaab Bookings'!$A$5:$A$47,"&lt;="&amp;DATE(2026,5,31)),0)</f>
        <v>0</v>
      </c>
      <c r="F5" s="13" t="n">
        <f aca="false">IFERROR(SUMIFS('Hisaab Bookings'!$B$5:$B$47,'Hisaab Bookings'!$A$5:$A$47,"&gt;="&amp;DATE(2026,5,1),'Hisaab Bookings'!$A$5:$A$47,"&lt;="&amp;DATE(2026,5,31)),0)</f>
        <v>0</v>
      </c>
    </row>
    <row r="6" customFormat="false" ht="15" hidden="false" customHeight="false" outlineLevel="0" collapsed="false">
      <c r="A6" s="12" t="s">
        <v>139</v>
      </c>
      <c r="B6" s="12" t="n">
        <f aca="false">COUNTIFS('Hisaab Bookings'!$A$5:$A$47,"&gt;="&amp;DATE(2026,6,1),'Hisaab Bookings'!$A$5:$A$47,"&lt;="&amp;DATE(2026,6,30))</f>
        <v>0</v>
      </c>
      <c r="C6" s="13" t="n">
        <f aca="false">IFERROR(AVERAGEIFS('Hisaab Bookings'!$B$5:$B$47,'Hisaab Bookings'!$A$5:$A$47,"&gt;="&amp;DATE(2026,6,1),'Hisaab Bookings'!$A$5:$A$47,"&lt;="&amp;DATE(2026,6,30)),0)</f>
        <v>0</v>
      </c>
      <c r="D6" s="13" t="n">
        <f aca="false">IFERROR(minifs('Hisaab Bookings'!$B$5:$B$47,'Hisaab Bookings'!$A$5:$A$47,"&gt;="&amp;DATE(2026,6,1),'Hisaab Bookings'!$A$5:$A$47,"&lt;="&amp;DATE(2026,6,30)),0)</f>
        <v>0</v>
      </c>
      <c r="E6" s="13" t="n">
        <f aca="false">IFERROR(maxifs('Hisaab Bookings'!$B$5:$B$47,'Hisaab Bookings'!$A$5:$A$47,"&gt;="&amp;DATE(2026,6,1),'Hisaab Bookings'!$A$5:$A$47,"&lt;="&amp;DATE(2026,6,30)),0)</f>
        <v>0</v>
      </c>
      <c r="F6" s="13" t="n">
        <f aca="false">IFERROR(SUMIFS('Hisaab Bookings'!$B$5:$B$47,'Hisaab Bookings'!$A$5:$A$47,"&gt;="&amp;DATE(2026,6,1),'Hisaab Bookings'!$A$5:$A$47,"&lt;="&amp;DATE(2026,6,30)),0)</f>
        <v>0</v>
      </c>
    </row>
    <row r="7" customFormat="false" ht="15" hidden="false" customHeight="false" outlineLevel="0" collapsed="false">
      <c r="A7" s="12" t="s">
        <v>140</v>
      </c>
      <c r="B7" s="12" t="n">
        <f aca="false">COUNTIFS('Hisaab Bookings'!$A$5:$A$47,"&gt;="&amp;DATE(2026,7,1),'Hisaab Bookings'!$A$5:$A$47,"&lt;="&amp;DATE(2026,7,31))</f>
        <v>0</v>
      </c>
      <c r="C7" s="13" t="n">
        <f aca="false">IFERROR(AVERAGEIFS('Hisaab Bookings'!$B$5:$B$47,'Hisaab Bookings'!$A$5:$A$47,"&gt;="&amp;DATE(2026,7,1),'Hisaab Bookings'!$A$5:$A$47,"&lt;="&amp;DATE(2026,7,31)),0)</f>
        <v>0</v>
      </c>
      <c r="D7" s="13" t="n">
        <f aca="false">IFERROR(minifs('Hisaab Bookings'!$B$5:$B$47,'Hisaab Bookings'!$A$5:$A$47,"&gt;="&amp;DATE(2026,7,1),'Hisaab Bookings'!$A$5:$A$47,"&lt;="&amp;DATE(2026,7,31)),0)</f>
        <v>0</v>
      </c>
      <c r="E7" s="13" t="n">
        <f aca="false">IFERROR(maxifs('Hisaab Bookings'!$B$5:$B$47,'Hisaab Bookings'!$A$5:$A$47,"&gt;="&amp;DATE(2026,7,1),'Hisaab Bookings'!$A$5:$A$47,"&lt;="&amp;DATE(2026,7,31)),0)</f>
        <v>0</v>
      </c>
      <c r="F7" s="13" t="n">
        <f aca="false">IFERROR(SUMIFS('Hisaab Bookings'!$B$5:$B$47,'Hisaab Bookings'!$A$5:$A$47,"&gt;="&amp;DATE(2026,7,1),'Hisaab Bookings'!$A$5:$A$47,"&lt;="&amp;DATE(2026,7,31)),0)</f>
        <v>0</v>
      </c>
    </row>
    <row r="8" customFormat="false" ht="15" hidden="false" customHeight="false" outlineLevel="0" collapsed="false">
      <c r="A8" s="14" t="s">
        <v>141</v>
      </c>
      <c r="B8" s="14" t="n">
        <f aca="false">COUNT('Hisaab Bookings'!$B$5:$B$47)</f>
        <v>43</v>
      </c>
      <c r="C8" s="15" t="n">
        <f aca="false">AVERAGE('Hisaab Bookings'!$B$5:$B$47)</f>
        <v>585.581395348837</v>
      </c>
      <c r="D8" s="15" t="n">
        <f aca="false">MIN('Hisaab Bookings'!$B$5:$B$47)</f>
        <v>300</v>
      </c>
      <c r="E8" s="15" t="n">
        <f aca="false">MAX('Hisaab Bookings'!$B$5:$B$47)</f>
        <v>800</v>
      </c>
      <c r="F8" s="15" t="n">
        <f aca="false">SUM('Hisaab Bookings'!$B$5:$B$47)</f>
        <v>25180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" t="s">
        <v>142</v>
      </c>
    </row>
    <row r="2" customFormat="false" ht="15" hidden="false" customHeight="false" outlineLevel="0" collapsed="false">
      <c r="A2" s="5" t="s">
        <v>143</v>
      </c>
      <c r="B2" s="5"/>
      <c r="C2" s="5"/>
      <c r="D2" s="5"/>
    </row>
    <row r="4" customFormat="false" ht="15" hidden="false" customHeight="false" outlineLevel="0" collapsed="false">
      <c r="A4" s="16" t="s">
        <v>144</v>
      </c>
      <c r="B4" s="16"/>
    </row>
    <row r="5" customFormat="false" ht="15" hidden="false" customHeight="false" outlineLevel="0" collapsed="false">
      <c r="A5" s="7" t="s">
        <v>145</v>
      </c>
      <c r="B5" s="11" t="n">
        <v>10930</v>
      </c>
    </row>
    <row r="6" customFormat="false" ht="15" hidden="false" customHeight="false" outlineLevel="0" collapsed="false">
      <c r="A6" s="7" t="s">
        <v>146</v>
      </c>
      <c r="B6" s="11" t="n">
        <v>8100</v>
      </c>
    </row>
    <row r="7" customFormat="false" ht="15" hidden="false" customHeight="false" outlineLevel="0" collapsed="false">
      <c r="A7" s="7" t="s">
        <v>147</v>
      </c>
      <c r="B7" s="11" t="n">
        <v>900</v>
      </c>
    </row>
    <row r="8" customFormat="false" ht="15" hidden="false" customHeight="false" outlineLevel="0" collapsed="false">
      <c r="A8" s="7" t="s">
        <v>148</v>
      </c>
      <c r="B8" s="11" t="n">
        <v>1000</v>
      </c>
    </row>
    <row r="9" customFormat="false" ht="15" hidden="false" customHeight="false" outlineLevel="0" collapsed="false">
      <c r="A9" s="7" t="s">
        <v>149</v>
      </c>
      <c r="B9" s="11" t="n">
        <v>700</v>
      </c>
    </row>
    <row r="10" customFormat="false" ht="15" hidden="false" customHeight="false" outlineLevel="0" collapsed="false">
      <c r="A10" s="7" t="s">
        <v>150</v>
      </c>
      <c r="B10" s="11" t="n">
        <v>200</v>
      </c>
    </row>
    <row r="12" customFormat="false" ht="15" hidden="false" customHeight="false" outlineLevel="0" collapsed="false">
      <c r="A12" s="16" t="s">
        <v>151</v>
      </c>
      <c r="B12" s="16"/>
    </row>
    <row r="13" customFormat="false" ht="15" hidden="false" customHeight="false" outlineLevel="0" collapsed="false">
      <c r="A13" s="7" t="s">
        <v>145</v>
      </c>
      <c r="B13" s="11" t="n">
        <v>11830</v>
      </c>
    </row>
    <row r="14" customFormat="false" ht="15" hidden="false" customHeight="false" outlineLevel="0" collapsed="false">
      <c r="A14" s="7" t="s">
        <v>152</v>
      </c>
      <c r="B14" s="11" t="n">
        <v>1050</v>
      </c>
    </row>
    <row r="15" customFormat="false" ht="15" hidden="false" customHeight="false" outlineLevel="0" collapsed="false">
      <c r="A15" s="7" t="s">
        <v>148</v>
      </c>
      <c r="B15" s="11" t="n">
        <v>2000</v>
      </c>
    </row>
    <row r="16" customFormat="false" ht="15" hidden="false" customHeight="false" outlineLevel="0" collapsed="false">
      <c r="A16" s="8" t="s">
        <v>153</v>
      </c>
      <c r="B16" s="17" t="n">
        <v>700</v>
      </c>
    </row>
    <row r="17" customFormat="false" ht="15" hidden="false" customHeight="false" outlineLevel="0" collapsed="false">
      <c r="A17" s="8" t="s">
        <v>153</v>
      </c>
      <c r="B17" s="17" t="n">
        <v>170</v>
      </c>
    </row>
    <row r="18" customFormat="false" ht="15" hidden="false" customHeight="false" outlineLevel="0" collapsed="false">
      <c r="A18" s="7" t="s">
        <v>154</v>
      </c>
      <c r="B18" s="11" t="n">
        <v>2010</v>
      </c>
    </row>
    <row r="19" customFormat="false" ht="15" hidden="false" customHeight="false" outlineLevel="0" collapsed="false">
      <c r="A19" s="7" t="s">
        <v>155</v>
      </c>
      <c r="B19" s="11" t="n">
        <v>200</v>
      </c>
    </row>
    <row r="20" customFormat="false" ht="15" hidden="false" customHeight="false" outlineLevel="0" collapsed="false">
      <c r="A20" s="7" t="s">
        <v>156</v>
      </c>
      <c r="B20" s="11" t="n">
        <v>2810</v>
      </c>
    </row>
  </sheetData>
  <mergeCells count="3">
    <mergeCell ref="A2:D2"/>
    <mergeCell ref="A4:B4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4" t="s">
        <v>157</v>
      </c>
    </row>
    <row r="2" customFormat="false" ht="15" hidden="false" customHeight="false" outlineLevel="0" collapsed="false">
      <c r="A2" s="9" t="s">
        <v>158</v>
      </c>
    </row>
    <row r="4" customFormat="false" ht="15" hidden="false" customHeight="false" outlineLevel="0" collapsed="false">
      <c r="A4" s="6" t="s">
        <v>104</v>
      </c>
      <c r="B4" s="6" t="s">
        <v>159</v>
      </c>
      <c r="C4" s="6" t="s">
        <v>160</v>
      </c>
      <c r="D4" s="6" t="s">
        <v>161</v>
      </c>
      <c r="E4" s="6" t="s">
        <v>162</v>
      </c>
      <c r="F4" s="6" t="s">
        <v>163</v>
      </c>
    </row>
    <row r="5" customFormat="false" ht="15" hidden="false" customHeight="false" outlineLevel="0" collapsed="false">
      <c r="A5" s="10"/>
      <c r="B5" s="7"/>
      <c r="C5" s="7"/>
      <c r="D5" s="7"/>
      <c r="E5" s="7"/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</row>
    <row r="41" customFormat="false" ht="15" hidden="false" customHeight="false" outlineLevel="0" collapsed="false">
      <c r="C41" s="18" t="s">
        <v>145</v>
      </c>
      <c r="D41" s="19" t="n">
        <f aca="false">SUM(D5:D40)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2026-07-09T09:09:08Z</dcterms:created>
  <dc:creator>openpyxl</dc:creator>
  <dc:description/>
  <dc:language>en-US</dc:language>
  <cp:lastModifiedBy/>
  <dcterms:modified xsi:type="dcterms:W3CDTF">2026-07-09T09:10:05Z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